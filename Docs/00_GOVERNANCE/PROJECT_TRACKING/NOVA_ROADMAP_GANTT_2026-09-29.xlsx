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tabRatio="600" autoFilterDateGrouping="1" showSheetTabs="1" minimized="0" showHorizontalScroll="1" showVerticalScroll="1" visibility="visible"/>
  </bookViews>
  <sheets>
    <sheet name="Roadmap" sheetId="1" state="visible" r:id="rId1"/>
    <sheet name="Gantt" sheetId="2" state="visible" r:id="rId2"/>
    <sheet name="Jalons" sheetId="3" state="visible" r:id="rId3"/>
    <sheet name="Synthese" sheetId="4" state="visible" r:id="rId4"/>
    <sheet name="Automatisation" sheetId="5" state="visible" r:id="rId5"/>
    <sheet name="Sources" sheetId="6" state="visible" r:id="rId6"/>
    <sheet name="Mission_Sync" sheetId="7" state="visible" r:id="rId7"/>
  </sheets>
  <definedNames>
    <definedName name="_xlnm._FilterDatabase" localSheetId="0" hidden="1">'Roadmap'!$A$4:$S$32</definedName>
  </definedNames>
  <calcPr calcId="124519" calcMode="auto" fullCalcOnLoad="1" forceFullCalc="1"/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"/>
    <numFmt numFmtId="166" formatCode=";;;"/>
  </numFmts>
  <fonts count="7">
    <font>
      <sz val="11.000000"/>
      <color theme="1"/>
      <name val="Calibri"/>
      <scheme val="minor"/>
    </font>
    <font>
      <b/>
      <sz val="18.000000"/>
      <color indexed="65"/>
    </font>
    <font>
      <i/>
      <color rgb="FF666666"/>
    </font>
    <font>
      <b/>
      <color indexed="65"/>
    </font>
    <font>
      <color indexed="17"/>
    </font>
    <font>
      <color indexed="64"/>
    </font>
    <font>
      <b/>
      <color rgb="FF666666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4472C4"/>
      </patternFill>
    </fill>
    <fill>
      <patternFill patternType="solid">
        <fgColor rgb="FFDDEBF7"/>
      </patternFill>
    </fill>
    <fill>
      <patternFill patternType="solid">
        <fgColor rgb="FF00A6A6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32">
    <xf fontId="0" fillId="0" borderId="0" numFmtId="0" xfId="0" quotePrefix="0" pivotButton="0"/>
    <xf fontId="1" fillId="2" borderId="0" numFmtId="0" xfId="0" applyAlignment="1" quotePrefix="0" pivotButton="0">
      <alignment horizontal="left" vertical="center"/>
    </xf>
    <xf fontId="2" fillId="3" borderId="0" numFmtId="0" xfId="0" quotePrefix="0" pivotButton="0"/>
    <xf fontId="3" fillId="4" borderId="0" numFmtId="0" xfId="0" applyAlignment="1" quotePrefix="0" pivotButton="0">
      <alignment horizontal="center" vertical="center" wrapText="1"/>
    </xf>
    <xf fontId="4" fillId="0" borderId="0" numFmtId="0" xfId="0" applyAlignment="1" quotePrefix="0" pivotButton="0">
      <alignment vertical="top" wrapText="1"/>
    </xf>
    <xf fontId="4" fillId="0" borderId="0" numFmtId="164" xfId="0" applyAlignment="1" quotePrefix="0" pivotButton="0">
      <alignment vertical="top" wrapText="1"/>
    </xf>
    <xf fontId="5" fillId="0" borderId="0" numFmtId="164" xfId="0" applyAlignment="1" quotePrefix="0" pivotButton="0">
      <alignment vertical="top" wrapText="1"/>
    </xf>
    <xf fontId="5" fillId="0" borderId="0" numFmtId="9" xfId="0" applyAlignment="1" quotePrefix="0" pivotButton="0">
      <alignment vertical="top" wrapText="1"/>
    </xf>
    <xf fontId="5" fillId="0" borderId="0" numFmtId="0" xfId="0" applyAlignment="1" quotePrefix="0" pivotButton="0">
      <alignment vertical="top" wrapText="1"/>
    </xf>
    <xf fontId="1" fillId="2" borderId="0" numFmtId="0" xfId="0" quotePrefix="0" pivotButton="0"/>
    <xf fontId="2" fillId="0" borderId="0" numFmtId="0" xfId="0" quotePrefix="0" pivotButton="0"/>
    <xf fontId="3" fillId="4" borderId="0" numFmtId="0" xfId="0" quotePrefix="0" pivotButton="0"/>
    <xf fontId="0" fillId="0" borderId="0" numFmtId="165" xfId="0" applyAlignment="1" quotePrefix="0" pivotButton="0">
      <alignment horizontal="center" textRotation="90"/>
    </xf>
    <xf fontId="0" fillId="0" borderId="0" numFmtId="164" xfId="0" quotePrefix="0" pivotButton="0"/>
    <xf fontId="0" fillId="0" borderId="0" numFmtId="166" xfId="0" applyAlignment="1" quotePrefix="0" pivotButton="0">
      <alignment horizontal="center"/>
    </xf>
    <xf fontId="0" fillId="0" borderId="0" numFmtId="0" xfId="0" applyAlignment="1" quotePrefix="0" pivotButton="0">
      <alignment vertical="top" wrapText="1"/>
    </xf>
    <xf fontId="0" fillId="0" borderId="0" numFmtId="164" xfId="0" applyAlignment="1" quotePrefix="0" pivotButton="0">
      <alignment vertical="top" wrapText="1"/>
    </xf>
    <xf fontId="6" fillId="0" borderId="0" numFmtId="0" xfId="0" quotePrefix="0" pivotButton="0"/>
    <xf fontId="0" fillId="5" borderId="0" numFmtId="164" xfId="0" quotePrefix="0" pivotButton="0"/>
    <xf fontId="0" fillId="5" borderId="0" numFmtId="0" xfId="0" quotePrefix="0" pivotButton="0"/>
    <xf fontId="0" fillId="5" borderId="0" numFmtId="9" xfId="0" quotePrefix="0" pivotButton="0"/>
    <xf fontId="3" fillId="6" borderId="0" numFmtId="0" xfId="0" quotePrefix="0" pivotButton="0"/>
    <xf fontId="3" fillId="4" borderId="0" numFmtId="0" xfId="0" applyAlignment="1" quotePrefix="0" pivotButton="0">
      <alignment vertical="top" wrapText="1"/>
    </xf>
    <xf fontId="4" fillId="0" borderId="0" numFmtId="164" xfId="0" applyAlignment="1" quotePrefix="0" pivotButton="0">
      <alignment vertical="top" wrapText="1"/>
    </xf>
    <xf fontId="5" fillId="0" borderId="0" numFmtId="164" xfId="0" applyAlignment="1" quotePrefix="0" pivotButton="0">
      <alignment vertical="top" wrapText="1"/>
    </xf>
    <xf fontId="0" fillId="0" borderId="0" numFmtId="165" xfId="0" applyAlignment="1" quotePrefix="0" pivotButton="0">
      <alignment horizontal="center" textRotation="90"/>
    </xf>
    <xf fontId="0" fillId="0" borderId="0" numFmtId="164" xfId="0" quotePrefix="0" pivotButton="0"/>
    <xf fontId="0" fillId="0" borderId="0" numFmtId="166" xfId="0" applyAlignment="1" quotePrefix="0" pivotButton="0">
      <alignment horizontal="center"/>
    </xf>
    <xf fontId="0" fillId="0" borderId="0" numFmtId="164" xfId="0" applyAlignment="1" quotePrefix="0" pivotButton="0">
      <alignment vertical="top" wrapText="1"/>
    </xf>
    <xf fontId="0" fillId="5" borderId="0" numFmtId="164" xfId="0" quotePrefix="0" pivotButton="0"/>
    <xf fontId="3" fillId="7" borderId="0" numFmtId="0" xfId="0" applyAlignment="1" quotePrefix="0" pivotButton="0">
      <alignment horizontal="center" vertical="center" wrapText="1"/>
    </xf>
    <xf fontId="3" fillId="2" borderId="0" numFmtId="0" xfId="0" applyAlignment="1" quotePrefix="0" pivotButton="0">
      <alignment horizontal="center" vertical="center" wrapText="1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4472C4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theme" Target="theme/theme1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customWidth="1" min="1" max="1" width="14"/>
    <col customWidth="1" min="2" max="2" width="12"/>
    <col customWidth="1" min="3" max="3" width="48"/>
    <col customWidth="1" min="4" max="4" width="20"/>
    <col customWidth="1" min="5" max="5" width="10"/>
    <col customWidth="1" min="6" max="6" width="24"/>
    <col customWidth="1" min="7" max="7" width="15"/>
    <col customWidth="1" min="8" max="8" width="58"/>
    <col customWidth="1" min="9" max="9" width="13"/>
    <col customWidth="1" min="10" max="10" width="14"/>
    <col customWidth="1" min="11" max="11" width="13"/>
    <col customWidth="1" min="12" max="12" width="12"/>
    <col customWidth="1" min="13" max="13" width="11"/>
    <col customWidth="1" min="14" max="14" width="18"/>
    <col customWidth="1" min="15" max="15" width="42"/>
    <col customWidth="1" min="16" max="16" width="20"/>
    <col customWidth="1" min="17" max="17" width="20"/>
    <col customWidth="1" min="18" max="18" width="20"/>
    <col customWidth="1" min="19" max="19" width="22"/>
  </cols>
  <sheetData>
    <row r="1" ht="28" customHeight="1">
      <c r="A1" s="1" t="inlineStr">
        <is>
          <t xml:space="preserve">NOVA — ROADMAP DE FINALISATION &amp; GANTT</t>
        </is>
      </c>
    </row>
    <row r="2">
      <c r="A2" s="2" t="inlineStr">
        <is>
          <t xml:space="preserve">Baseline : 29/09/2026 | Principe : EXISTANT &gt; RÉUTILISATION &gt; RÉPARATION MINIMALE &gt; NOUVEAU DÉVELOPPEMENT</t>
        </is>
      </c>
    </row>
    <row r="4">
      <c r="A4" s="3" t="inlineStr">
        <is>
          <t>ID</t>
        </is>
      </c>
      <c r="B4" s="3" t="inlineStr">
        <is>
          <t>Lot</t>
        </is>
      </c>
      <c r="C4" s="3" t="inlineStr">
        <is>
          <t>Tâche</t>
        </is>
      </c>
      <c r="D4" s="3" t="inlineStr">
        <is>
          <t>Domaine</t>
        </is>
      </c>
      <c r="E4" s="3" t="inlineStr">
        <is>
          <t>Priorité</t>
        </is>
      </c>
      <c r="F4" s="3" t="inlineStr">
        <is>
          <t>Dépendances</t>
        </is>
      </c>
      <c r="G4" s="3" t="inlineStr">
        <is>
          <t>Statut</t>
        </is>
      </c>
      <c r="H4" s="3" t="inlineStr">
        <is>
          <t xml:space="preserve">Preuve / constat</t>
        </is>
      </c>
      <c r="I4" s="3" t="inlineStr">
        <is>
          <t xml:space="preserve">Début prévu</t>
        </is>
      </c>
      <c r="J4" s="3" t="inlineStr">
        <is>
          <t xml:space="preserve">Durée (j ouvrés)</t>
        </is>
      </c>
      <c r="K4" s="3" t="inlineStr">
        <is>
          <t xml:space="preserve">Fin prévue</t>
        </is>
      </c>
      <c r="L4" s="3" t="inlineStr">
        <is>
          <t>Avancement</t>
        </is>
      </c>
      <c r="M4" s="3" t="inlineStr">
        <is>
          <t xml:space="preserve">Retard (j)</t>
        </is>
      </c>
      <c r="N4" s="3" t="inlineStr">
        <is>
          <t>Alerte</t>
        </is>
      </c>
      <c r="O4" s="30" t="inlineStr">
        <is>
          <t xml:space="preserve">Mission liée</t>
        </is>
      </c>
      <c r="P4" s="30" t="inlineStr">
        <is>
          <t xml:space="preserve">État Runtime officiel</t>
        </is>
      </c>
      <c r="Q4" s="30" t="inlineStr">
        <is>
          <t xml:space="preserve">Décision autorité</t>
        </is>
      </c>
      <c r="R4" s="30" t="inlineStr">
        <is>
          <t xml:space="preserve">État final mission</t>
        </is>
      </c>
      <c r="S4" s="30" t="inlineStr">
        <is>
          <t>Synchronisation</t>
        </is>
      </c>
    </row>
    <row r="5">
      <c r="A5" s="4" t="inlineStr">
        <is>
          <t>NOVA-R01</t>
        </is>
      </c>
      <c r="B5" s="4" t="inlineStr">
        <is>
          <t xml:space="preserve">LOT 0</t>
        </is>
      </c>
      <c r="C5" s="4" t="inlineStr">
        <is>
          <t>Figer l'état réel actuel de NOVA et le registre des écarts.</t>
        </is>
      </c>
      <c r="D5" s="4" t="inlineStr">
        <is>
          <t>Gouvernance</t>
        </is>
      </c>
      <c r="E5" s="4" t="inlineStr">
        <is>
          <t>P0</t>
        </is>
      </c>
      <c r="F5" s="4"/>
      <c r="G5" s="4" t="inlineStr">
        <is>
          <t>Terminé</t>
        </is>
      </c>
      <c r="H5" s="4" t="inlineStr">
        <is>
          <t>Baseline figée sur feature/nova-runtime-foundation au commit 3ebf5ba689e4df2f2309e8dd31f34093d243237b. Worktree propre. Architecture vérifiée : UI -&gt; BFF -&gt; NOVA Core HTTP -&gt; Mission/Runtime. Registre des écarts consolidé.</t>
        </is>
      </c>
      <c r="I5" s="23">
        <v>46294</v>
      </c>
      <c r="J5" s="4">
        <v>1</v>
      </c>
      <c r="K5" s="24">
        <f>I5+J5-1</f>
      </c>
      <c r="L5" s="7" t="inlineStr">
        <is>
          <t>100%</t>
        </is>
      </c>
      <c r="M5" s="8">
        <f>IF(OR(G5="Terminé",K5=""),0,MAX(0,TODAY()-K5))</f>
      </c>
      <c r="N5" s="8">
        <f>IF(G5="Terminé","OK",IF(M5&gt;0,"RETARD",IF(TODAY()&gt;=I5,"EN COURS / À LANCER","À VENIR")))</f>
      </c>
      <c r="O5" s="15"/>
      <c r="S5" t="inlineStr">
        <is>
          <t>NON RATTACHE</t>
        </is>
      </c>
    </row>
    <row r="6">
      <c r="A6" s="4" t="inlineStr">
        <is>
          <t>NOVA-R02</t>
        </is>
      </c>
      <c r="B6" s="4" t="inlineStr">
        <is>
          <t xml:space="preserve">LOT 1</t>
        </is>
      </c>
      <c r="C6" s="4" t="inlineStr">
        <is>
          <t>Raccorder le BFF à l'autorité Mission/Runtime de NOVA Core via HTTP, sans créer de seconde autorité d'exécution.</t>
        </is>
      </c>
      <c r="D6" s="4" t="inlineStr">
        <is>
          <t xml:space="preserve">Intégration Runtime</t>
        </is>
      </c>
      <c r="E6" s="4" t="inlineStr">
        <is>
          <t>P0</t>
        </is>
      </c>
      <c r="F6" s="4" t="inlineStr">
        <is>
          <t>NOVA-R01</t>
        </is>
      </c>
      <c r="G6" s="4" t="inlineStr">
        <is>
          <t>En cours</t>
        </is>
      </c>
      <c r="H6" s="4" t="inlineStr">
        <is>
          <t>R01/R02 : NOVA Core expose déjà POST /api/v1/missions et POST /api/v1/missions/{projectId}/{missionId}/execute. BFF_RUNTIME_ORIGIN pointe vers NOVA Core :4100. Les gateways HTTP de lecture existent. Le runtimeGateway historique n'est pas injecté et son contrat ProgramProductionEntrypoint ne correspond pas directement au contrat Mission/Runtime actuel. Développement minimal attendu : passerelle BFF dédiée Mission/Runtime. Ne pas modifier NOVA Core ni créer un second moteur.</t>
        </is>
      </c>
      <c r="I6" s="23">
        <v>46295</v>
      </c>
      <c r="J6" s="4">
        <v>2</v>
      </c>
      <c r="K6" s="24">
        <f>I6+J6-1</f>
      </c>
      <c r="L6" s="7" t="inlineStr">
        <is>
          <t>20%</t>
        </is>
      </c>
      <c r="M6" s="8">
        <f>IF(OR(G6="Terminé",K6=""),0,MAX(0,TODAY()-K6))</f>
      </c>
      <c r="N6" s="8">
        <f>IF(G6="Terminé","OK",IF(M6&gt;0,"RETARD",IF(TODAY()&gt;=I6,"EN COURS / À LANCER","À VENIR")))</f>
      </c>
      <c r="O6" s="15"/>
      <c r="S6" t="inlineStr">
        <is>
          <t>NON RATTACHE</t>
        </is>
      </c>
    </row>
    <row r="7">
      <c r="A7" s="4" t="inlineStr">
        <is>
          <t>NOVA-R03</t>
        </is>
      </c>
      <c r="B7" s="4" t="inlineStr">
        <is>
          <t xml:space="preserve">LOT 1</t>
        </is>
      </c>
      <c r="C7" s="4" t="inlineStr">
        <is>
          <t xml:space="preserve">Configurer stockage durable, authentification production, workspace, Git et transport IA</t>
        </is>
      </c>
      <c r="D7" s="4" t="inlineStr">
        <is>
          <t xml:space="preserve">Intégration Runtime</t>
        </is>
      </c>
      <c r="E7" s="4" t="inlineStr">
        <is>
          <t>P0</t>
        </is>
      </c>
      <c r="F7" s="4" t="inlineStr">
        <is>
          <t>NOVA-R02</t>
        </is>
      </c>
      <c r="G7" s="4" t="inlineStr">
        <is>
          <t xml:space="preserve">À faire</t>
        </is>
      </c>
      <c r="H7" s="4" t="inlineStr">
        <is>
          <t xml:space="preserve">Dépendances existantes dans nova-core ; assemblage réel à réaliser/valider</t>
        </is>
      </c>
      <c r="I7" s="23">
        <v>46297</v>
      </c>
      <c r="J7" s="4">
        <v>2</v>
      </c>
      <c r="K7" s="24">
        <f>I7+J7-1</f>
      </c>
      <c r="L7" s="7">
        <f>IF(G7="Terminé",1,IF(G7="En cours",0.5,0))</f>
      </c>
      <c r="M7" s="8">
        <f>IF(OR(G7="Terminé",K7=""),0,MAX(0,TODAY()-K7))</f>
      </c>
      <c r="N7" s="8">
        <f>IF(G7="Terminé","OK",IF(M7&gt;0,"RETARD",IF(TODAY()&gt;=I7,"EN COURS / À LANCER","À VENIR")))</f>
      </c>
      <c r="O7" s="15"/>
      <c r="S7" t="inlineStr">
        <is>
          <t>NON RATTACHE</t>
        </is>
      </c>
    </row>
    <row r="8">
      <c r="A8" s="4" t="inlineStr">
        <is>
          <t>NOVA-R04</t>
        </is>
      </c>
      <c r="B8" s="4" t="inlineStr">
        <is>
          <t xml:space="preserve">LOT 1</t>
        </is>
      </c>
      <c r="C8" s="4" t="inlineStr">
        <is>
          <t xml:space="preserve">Prouver POST /api/runtime/execute → Runtime réel</t>
        </is>
      </c>
      <c r="D8" s="4" t="inlineStr">
        <is>
          <t xml:space="preserve">Intégration Runtime</t>
        </is>
      </c>
      <c r="E8" s="4" t="inlineStr">
        <is>
          <t>P0</t>
        </is>
      </c>
      <c r="F8" s="4" t="inlineStr">
        <is>
          <t>NOVA-R03</t>
        </is>
      </c>
      <c r="G8" s="4" t="inlineStr">
        <is>
          <t xml:space="preserve">À faire</t>
        </is>
      </c>
      <c r="H8" s="4" t="inlineStr">
        <is>
          <t xml:space="preserve">Route authentifiée existe ; runtimeProxy actuellement configured_not_connected</t>
        </is>
      </c>
      <c r="I8" s="23">
        <v>46301</v>
      </c>
      <c r="J8" s="4">
        <v>1</v>
      </c>
      <c r="K8" s="24">
        <f>I8+J8-1</f>
      </c>
      <c r="L8" s="7">
        <f>IF(G8="Terminé",1,IF(G8="En cours",0.5,0))</f>
      </c>
      <c r="M8" s="8">
        <f>IF(OR(G8="Terminé",K8=""),0,MAX(0,TODAY()-K8))</f>
      </c>
      <c r="N8" s="8">
        <f>IF(G8="Terminé","OK",IF(M8&gt;0,"RETARD",IF(TODAY()&gt;=I8,"EN COURS / À LANCER","À VENIR")))</f>
      </c>
      <c r="O8" s="15"/>
      <c r="S8" t="inlineStr">
        <is>
          <t>NON RATTACHE</t>
        </is>
      </c>
    </row>
    <row r="9">
      <c r="A9" s="4" t="inlineStr">
        <is>
          <t>NOVA-R05</t>
        </is>
      </c>
      <c r="B9" s="4" t="inlineStr">
        <is>
          <t xml:space="preserve">LOT 2</t>
        </is>
      </c>
      <c r="C9" s="4" t="inlineStr">
        <is>
          <t>Connecter Confirm à la passerelle BFF Mission/Runtime existante afin de créer/lancer la Mission puis ouvrir le Work réel.</t>
        </is>
      </c>
      <c r="D9" s="4" t="inlineStr">
        <is>
          <t xml:space="preserve">Work Setup</t>
        </is>
      </c>
      <c r="E9" s="4" t="inlineStr">
        <is>
          <t>P0</t>
        </is>
      </c>
      <c r="F9" s="4" t="inlineStr">
        <is>
          <t>NOVA-R04</t>
        </is>
      </c>
      <c r="G9" s="4" t="inlineStr">
        <is>
          <t>À faire</t>
        </is>
      </c>
      <c r="H9" s="4" t="inlineStr">
        <is>
          <t>ConfirmPage utilise actuellement navigate('work') uniquement. R05 dépend de R02. L'autorité de création reste Mission/Runtime ; aucun moteur Create Work indépendant ne doit être créé.</t>
        </is>
      </c>
      <c r="I9" s="23">
        <v>46302</v>
      </c>
      <c r="J9" s="4">
        <v>2</v>
      </c>
      <c r="K9" s="24">
        <f>I9+J9-1</f>
      </c>
      <c r="L9" s="7" t="inlineStr">
        <is>
          <t>0%</t>
        </is>
      </c>
      <c r="M9" s="8">
        <f>IF(OR(G9="Terminé",K9=""),0,MAX(0,TODAY()-K9))</f>
      </c>
      <c r="N9" s="8">
        <f>IF(G9="Terminé","OK",IF(M9&gt;0,"RETARD",IF(TODAY()&gt;=I9,"EN COURS / À LANCER","À VENIR")))</f>
      </c>
      <c r="O9" s="15"/>
      <c r="S9" t="inlineStr">
        <is>
          <t>NON RATTACHE</t>
        </is>
      </c>
    </row>
    <row r="10">
      <c r="A10" s="4" t="inlineStr">
        <is>
          <t>NOVA-R06</t>
        </is>
      </c>
      <c r="B10" s="4" t="inlineStr">
        <is>
          <t xml:space="preserve">LOT 2</t>
        </is>
      </c>
      <c r="C10" s="4" t="inlineStr">
        <is>
          <t xml:space="preserve">Prouver le parcours objectif → Confirm → Mission → Work</t>
        </is>
      </c>
      <c r="D10" s="4" t="inlineStr">
        <is>
          <t xml:space="preserve">Work Setup</t>
        </is>
      </c>
      <c r="E10" s="4" t="inlineStr">
        <is>
          <t>P0</t>
        </is>
      </c>
      <c r="F10" s="4" t="inlineStr">
        <is>
          <t>NOVA-R05</t>
        </is>
      </c>
      <c r="G10" s="4" t="inlineStr">
        <is>
          <t xml:space="preserve">À faire</t>
        </is>
      </c>
      <c r="H10" s="4" t="inlineStr">
        <is>
          <t xml:space="preserve">Parcours UI existe ; preuve bout-en-bout encore requise</t>
        </is>
      </c>
      <c r="I10" s="23">
        <v>46304</v>
      </c>
      <c r="J10" s="4">
        <v>2</v>
      </c>
      <c r="K10" s="24">
        <f>I10+J10-1</f>
      </c>
      <c r="L10" s="7">
        <f>IF(G10="Terminé",1,IF(G10="En cours",0.5,0))</f>
      </c>
      <c r="M10" s="8">
        <f>IF(OR(G10="Terminé",K10=""),0,MAX(0,TODAY()-K10))</f>
      </c>
      <c r="N10" s="8">
        <f>IF(G10="Terminé","OK",IF(M10&gt;0,"RETARD",IF(TODAY()&gt;=I10,"EN COURS / À LANCER","À VENIR")))</f>
      </c>
      <c r="O10" s="15"/>
      <c r="S10" t="inlineStr">
        <is>
          <t>NON RATTACHE</t>
        </is>
      </c>
    </row>
    <row r="11">
      <c r="A11" s="4" t="inlineStr">
        <is>
          <t>NOVA-R07</t>
        </is>
      </c>
      <c r="B11" s="4" t="inlineStr">
        <is>
          <t xml:space="preserve">LOT 3</t>
        </is>
      </c>
      <c r="C11" s="4" t="inlineStr">
        <is>
          <t xml:space="preserve">Brancher Work Plan aux données Planning réelles</t>
        </is>
      </c>
      <c r="D11" s="4" t="inlineStr">
        <is>
          <t xml:space="preserve">Work UI</t>
        </is>
      </c>
      <c r="E11" s="4" t="inlineStr">
        <is>
          <t>P1</t>
        </is>
      </c>
      <c r="F11" s="4" t="inlineStr">
        <is>
          <t>NOVA-R06</t>
        </is>
      </c>
      <c r="G11" s="4" t="inlineStr">
        <is>
          <t xml:space="preserve">À faire</t>
        </is>
      </c>
      <c r="H11" s="4" t="inlineStr">
        <is>
          <t xml:space="preserve">WorkPlanningQuery existe ; UI utilise encore des données préparées</t>
        </is>
      </c>
      <c r="I11" s="23">
        <v>46308</v>
      </c>
      <c r="J11" s="4">
        <v>2</v>
      </c>
      <c r="K11" s="24">
        <f>I11+J11-1</f>
      </c>
      <c r="L11" s="7">
        <f>IF(G11="Terminé",1,IF(G11="En cours",0.5,0))</f>
      </c>
      <c r="M11" s="8">
        <f>IF(OR(G11="Terminé",K11=""),0,MAX(0,TODAY()-K11))</f>
      </c>
      <c r="N11" s="8">
        <f>IF(G11="Terminé","OK",IF(M11&gt;0,"RETARD",IF(TODAY()&gt;=I11,"EN COURS / À LANCER","À VENIR")))</f>
      </c>
      <c r="O11" s="15"/>
      <c r="S11" t="inlineStr">
        <is>
          <t>NON RATTACHE</t>
        </is>
      </c>
    </row>
    <row r="12">
      <c r="A12" s="4" t="inlineStr">
        <is>
          <t>NOVA-R08</t>
        </is>
      </c>
      <c r="B12" s="4" t="inlineStr">
        <is>
          <t xml:space="preserve">LOT 3</t>
        </is>
      </c>
      <c r="C12" s="4" t="inlineStr">
        <is>
          <t xml:space="preserve">Brancher Work People aux données People réelles</t>
        </is>
      </c>
      <c r="D12" s="4" t="inlineStr">
        <is>
          <t xml:space="preserve">Work UI</t>
        </is>
      </c>
      <c r="E12" s="4" t="inlineStr">
        <is>
          <t>P1</t>
        </is>
      </c>
      <c r="F12" s="4" t="inlineStr">
        <is>
          <t>NOVA-R06</t>
        </is>
      </c>
      <c r="G12" s="4" t="inlineStr">
        <is>
          <t xml:space="preserve">À faire</t>
        </is>
      </c>
      <c r="H12" s="4" t="inlineStr">
        <is>
          <t xml:space="preserve">WorkPeopleQuery existe ; UI à connecter</t>
        </is>
      </c>
      <c r="I12" s="23">
        <v>46308</v>
      </c>
      <c r="J12" s="4">
        <v>2</v>
      </c>
      <c r="K12" s="24">
        <f>I12+J12-1</f>
      </c>
      <c r="L12" s="7">
        <f>IF(G12="Terminé",1,IF(G12="En cours",0.5,0))</f>
      </c>
      <c r="M12" s="8">
        <f>IF(OR(G12="Terminé",K12=""),0,MAX(0,TODAY()-K12))</f>
      </c>
      <c r="N12" s="8">
        <f>IF(G12="Terminé","OK",IF(M12&gt;0,"RETARD",IF(TODAY()&gt;=I12,"EN COURS / À LANCER","À VENIR")))</f>
      </c>
      <c r="O12" s="15"/>
      <c r="S12" t="inlineStr">
        <is>
          <t>NON RATTACHE</t>
        </is>
      </c>
    </row>
    <row r="13">
      <c r="A13" s="4" t="inlineStr">
        <is>
          <t>NOVA-R09</t>
        </is>
      </c>
      <c r="B13" s="4" t="inlineStr">
        <is>
          <t xml:space="preserve">LOT 3</t>
        </is>
      </c>
      <c r="C13" s="4" t="inlineStr">
        <is>
          <t xml:space="preserve">Brancher Work Decisions aux données Decisions réelles</t>
        </is>
      </c>
      <c r="D13" s="4" t="inlineStr">
        <is>
          <t xml:space="preserve">Work UI</t>
        </is>
      </c>
      <c r="E13" s="4" t="inlineStr">
        <is>
          <t>P1</t>
        </is>
      </c>
      <c r="F13" s="4" t="inlineStr">
        <is>
          <t>NOVA-R06</t>
        </is>
      </c>
      <c r="G13" s="4" t="inlineStr">
        <is>
          <t xml:space="preserve">À faire</t>
        </is>
      </c>
      <c r="H13" s="4" t="inlineStr">
        <is>
          <t xml:space="preserve">WorkDecisionsService/Query existent ; UI à connecter</t>
        </is>
      </c>
      <c r="I13" s="23">
        <v>46310</v>
      </c>
      <c r="J13" s="4">
        <v>2</v>
      </c>
      <c r="K13" s="24">
        <f>I13+J13-1</f>
      </c>
      <c r="L13" s="7">
        <f>IF(G13="Terminé",1,IF(G13="En cours",0.5,0))</f>
      </c>
      <c r="M13" s="8">
        <f>IF(OR(G13="Terminé",K13=""),0,MAX(0,TODAY()-K13))</f>
      </c>
      <c r="N13" s="8">
        <f>IF(G13="Terminé","OK",IF(M13&gt;0,"RETARD",IF(TODAY()&gt;=I13,"EN COURS / À LANCER","À VENIR")))</f>
      </c>
      <c r="O13" s="15"/>
      <c r="S13" t="inlineStr">
        <is>
          <t>NON RATTACHE</t>
        </is>
      </c>
    </row>
    <row r="14">
      <c r="A14" s="4" t="inlineStr">
        <is>
          <t>NOVA-R10</t>
        </is>
      </c>
      <c r="B14" s="4" t="inlineStr">
        <is>
          <t xml:space="preserve">LOT 3</t>
        </is>
      </c>
      <c r="C14" s="4" t="inlineStr">
        <is>
          <t xml:space="preserve">Brancher Work Deliverables détaillés aux données réelles</t>
        </is>
      </c>
      <c r="D14" s="4" t="inlineStr">
        <is>
          <t xml:space="preserve">Work UI</t>
        </is>
      </c>
      <c r="E14" s="4" t="inlineStr">
        <is>
          <t>P1</t>
        </is>
      </c>
      <c r="F14" s="4" t="inlineStr">
        <is>
          <t>NOVA-R06</t>
        </is>
      </c>
      <c r="G14" s="4" t="inlineStr">
        <is>
          <t xml:space="preserve">À faire</t>
        </is>
      </c>
      <c r="H14" s="4" t="inlineStr">
        <is>
          <t xml:space="preserve">WorkDeliverablesQuery existe ; UI à connecter</t>
        </is>
      </c>
      <c r="I14" s="23">
        <v>46310</v>
      </c>
      <c r="J14" s="4">
        <v>2</v>
      </c>
      <c r="K14" s="24">
        <f>I14+J14-1</f>
      </c>
      <c r="L14" s="7">
        <f>IF(G14="Terminé",1,IF(G14="En cours",0.5,0))</f>
      </c>
      <c r="M14" s="8">
        <f>IF(OR(G14="Terminé",K14=""),0,MAX(0,TODAY()-K14))</f>
      </c>
      <c r="N14" s="8">
        <f>IF(G14="Terminé","OK",IF(M14&gt;0,"RETARD",IF(TODAY()&gt;=I14,"EN COURS / À LANCER","À VENIR")))</f>
      </c>
      <c r="O14" s="15"/>
      <c r="S14" t="inlineStr">
        <is>
          <t>NON RATTACHE</t>
        </is>
      </c>
    </row>
    <row r="15">
      <c r="A15" s="4" t="inlineStr">
        <is>
          <t>NOVA-R11</t>
        </is>
      </c>
      <c r="B15" s="4" t="inlineStr">
        <is>
          <t xml:space="preserve">LOT 3</t>
        </is>
      </c>
      <c r="C15" s="4" t="inlineStr">
        <is>
          <t xml:space="preserve">Mapper Evidence → écran Sources sans créer un nouveau domaine</t>
        </is>
      </c>
      <c r="D15" s="4" t="inlineStr">
        <is>
          <t xml:space="preserve">Work UI</t>
        </is>
      </c>
      <c r="E15" s="4" t="inlineStr">
        <is>
          <t>P1</t>
        </is>
      </c>
      <c r="F15" s="4" t="inlineStr">
        <is>
          <t>NOVA-R06</t>
        </is>
      </c>
      <c r="G15" s="4" t="inlineStr">
        <is>
          <t xml:space="preserve">À faire</t>
        </is>
      </c>
      <c r="H15" s="4" t="inlineStr">
        <is>
          <t xml:space="preserve">WorkEvidence/Evidence existent ; adéquation complète écran Sources à certifier</t>
        </is>
      </c>
      <c r="I15" s="23">
        <v>46314</v>
      </c>
      <c r="J15" s="4">
        <v>3</v>
      </c>
      <c r="K15" s="24">
        <f>I15+J15-1</f>
      </c>
      <c r="L15" s="7">
        <f>IF(G15="Terminé",1,IF(G15="En cours",0.5,0))</f>
      </c>
      <c r="M15" s="8">
        <f>IF(OR(G15="Terminé",K15=""),0,MAX(0,TODAY()-K15))</f>
      </c>
      <c r="N15" s="8">
        <f>IF(G15="Terminé","OK",IF(M15&gt;0,"RETARD",IF(TODAY()&gt;=I15,"EN COURS / À LANCER","À VENIR")))</f>
      </c>
      <c r="O15" s="15"/>
      <c r="S15" t="inlineStr">
        <is>
          <t>NON RATTACHE</t>
        </is>
      </c>
    </row>
    <row r="16">
      <c r="A16" s="4" t="inlineStr">
        <is>
          <t>NOVA-R12</t>
        </is>
      </c>
      <c r="B16" s="4" t="inlineStr">
        <is>
          <t xml:space="preserve">LOT 3</t>
        </is>
      </c>
      <c r="C16" s="4" t="inlineStr">
        <is>
          <t xml:space="preserve">Remplacer les fixtures restantes des écrans Work par des services réels</t>
        </is>
      </c>
      <c r="D16" s="4" t="inlineStr">
        <is>
          <t xml:space="preserve">Work UI</t>
        </is>
      </c>
      <c r="E16" s="4" t="inlineStr">
        <is>
          <t>P1</t>
        </is>
      </c>
      <c r="F16" s="4" t="inlineStr">
        <is>
          <t>NOVA-R07,R08,R09,R10,R11</t>
        </is>
      </c>
      <c r="G16" s="4" t="inlineStr">
        <is>
          <t xml:space="preserve">À faire</t>
        </is>
      </c>
      <c r="H16" s="4" t="inlineStr">
        <is>
          <t xml:space="preserve">Fixtures encore présentes dans plusieurs sous-pages Work</t>
        </is>
      </c>
      <c r="I16" s="23">
        <v>46317</v>
      </c>
      <c r="J16" s="4">
        <v>2</v>
      </c>
      <c r="K16" s="24">
        <f>I16+J16-1</f>
      </c>
      <c r="L16" s="7">
        <f>IF(G16="Terminé",1,IF(G16="En cours",0.5,0))</f>
      </c>
      <c r="M16" s="8">
        <f>IF(OR(G16="Terminé",K16=""),0,MAX(0,TODAY()-K16))</f>
      </c>
      <c r="N16" s="8">
        <f>IF(G16="Terminé","OK",IF(M16&gt;0,"RETARD",IF(TODAY()&gt;=I16,"EN COURS / À LANCER","À VENIR")))</f>
      </c>
      <c r="O16" s="15"/>
      <c r="S16" t="inlineStr">
        <is>
          <t>NON RATTACHE</t>
        </is>
      </c>
    </row>
    <row r="17">
      <c r="A17" s="4" t="inlineStr">
        <is>
          <t>NOVA-R13</t>
        </is>
      </c>
      <c r="B17" s="4" t="inlineStr">
        <is>
          <t xml:space="preserve">LOT 4</t>
        </is>
      </c>
      <c r="C17" s="4" t="inlineStr">
        <is>
          <t xml:space="preserve">Brancher Decisions globales au moteur réel</t>
        </is>
      </c>
      <c r="D17" s="4" t="inlineStr">
        <is>
          <t>Décisions</t>
        </is>
      </c>
      <c r="E17" s="4" t="inlineStr">
        <is>
          <t>P1</t>
        </is>
      </c>
      <c r="F17" s="4" t="inlineStr">
        <is>
          <t>NOVA-R12</t>
        </is>
      </c>
      <c r="G17" s="4" t="inlineStr">
        <is>
          <t xml:space="preserve">À faire</t>
        </is>
      </c>
      <c r="H17" s="4" t="inlineStr">
        <is>
          <t xml:space="preserve">Interface globale présente ; données de démonstration observées</t>
        </is>
      </c>
      <c r="I17" s="23">
        <v>46321</v>
      </c>
      <c r="J17" s="4">
        <v>2</v>
      </c>
      <c r="K17" s="24">
        <f>I17+J17-1</f>
      </c>
      <c r="L17" s="7">
        <f>IF(G17="Terminé",1,IF(G17="En cours",0.5,0))</f>
      </c>
      <c r="M17" s="8">
        <f>IF(OR(G17="Terminé",K17=""),0,MAX(0,TODAY()-K17))</f>
      </c>
      <c r="N17" s="8">
        <f>IF(G17="Terminé","OK",IF(M17&gt;0,"RETARD",IF(TODAY()&gt;=I17,"EN COURS / À LANCER","À VENIR")))</f>
      </c>
      <c r="O17" s="15"/>
      <c r="S17" t="inlineStr">
        <is>
          <t>NON RATTACHE</t>
        </is>
      </c>
    </row>
    <row r="18">
      <c r="A18" s="4" t="inlineStr">
        <is>
          <t>NOVA-R14</t>
        </is>
      </c>
      <c r="B18" s="4" t="inlineStr">
        <is>
          <t xml:space="preserve">LOT 4</t>
        </is>
      </c>
      <c r="C18" s="4" t="inlineStr">
        <is>
          <t xml:space="preserve">Prouver Review → Decide → Record → Receipt avec persistance et autorité</t>
        </is>
      </c>
      <c r="D18" s="4" t="inlineStr">
        <is>
          <t>Décisions</t>
        </is>
      </c>
      <c r="E18" s="4" t="inlineStr">
        <is>
          <t>P0</t>
        </is>
      </c>
      <c r="F18" s="4" t="inlineStr">
        <is>
          <t>NOVA-R13</t>
        </is>
      </c>
      <c r="G18" s="4" t="inlineStr">
        <is>
          <t xml:space="preserve">À auditer</t>
        </is>
      </c>
      <c r="H18" s="4" t="inlineStr">
        <is>
          <t xml:space="preserve">Parcours UX spécifié historiquement ; état as-built complet à revalider</t>
        </is>
      </c>
      <c r="I18" s="23">
        <v>46323</v>
      </c>
      <c r="J18" s="4">
        <v>3</v>
      </c>
      <c r="K18" s="24">
        <f>I18+J18-1</f>
      </c>
      <c r="L18" s="7">
        <f>IF(G18="Terminé",1,IF(G18="En cours",0.5,0))</f>
      </c>
      <c r="M18" s="8">
        <f>IF(OR(G18="Terminé",K18=""),0,MAX(0,TODAY()-K18))</f>
      </c>
      <c r="N18" s="8">
        <f>IF(G18="Terminé","OK",IF(M18&gt;0,"RETARD",IF(TODAY()&gt;=I18,"EN COURS / À LANCER","À VENIR")))</f>
      </c>
      <c r="O18" s="15"/>
      <c r="S18" t="inlineStr">
        <is>
          <t>NON RATTACHE</t>
        </is>
      </c>
    </row>
    <row r="19">
      <c r="A19" s="4" t="inlineStr">
        <is>
          <t>NOVA-R15</t>
        </is>
      </c>
      <c r="B19" s="4" t="inlineStr">
        <is>
          <t xml:space="preserve">LOT 5</t>
        </is>
      </c>
      <c r="C19" s="4" t="inlineStr">
        <is>
          <t xml:space="preserve">Valider authentification UI → BFF en conditions réelles</t>
        </is>
      </c>
      <c r="D19" s="4" t="inlineStr">
        <is>
          <t>Sécurité</t>
        </is>
      </c>
      <c r="E19" s="4" t="inlineStr">
        <is>
          <t>P0</t>
        </is>
      </c>
      <c r="F19" s="4" t="inlineStr">
        <is>
          <t>NOVA-R04</t>
        </is>
      </c>
      <c r="G19" s="4" t="inlineStr">
        <is>
          <t xml:space="preserve">À auditer</t>
        </is>
      </c>
      <c r="H19" s="4" t="inlineStr">
        <is>
          <t xml:space="preserve">Login/session/CSRF/RBAC existent ; fonctionnement complet à démontrer</t>
        </is>
      </c>
      <c r="I19" s="23">
        <v>46302</v>
      </c>
      <c r="J19" s="4">
        <v>2</v>
      </c>
      <c r="K19" s="24">
        <f>I19+J19-1</f>
      </c>
      <c r="L19" s="7">
        <f>IF(G19="Terminé",1,IF(G19="En cours",0.5,0))</f>
      </c>
      <c r="M19" s="8">
        <f>IF(OR(G19="Terminé",K19=""),0,MAX(0,TODAY()-K19))</f>
      </c>
      <c r="N19" s="8">
        <f>IF(G19="Terminé","OK",IF(M19&gt;0,"RETARD",IF(TODAY()&gt;=I19,"EN COURS / À LANCER","À VENIR")))</f>
      </c>
      <c r="O19" s="15"/>
      <c r="S19" t="inlineStr">
        <is>
          <t>NON RATTACHE</t>
        </is>
      </c>
    </row>
    <row r="20">
      <c r="A20" s="4" t="inlineStr">
        <is>
          <t>NOVA-R16</t>
        </is>
      </c>
      <c r="B20" s="4" t="inlineStr">
        <is>
          <t xml:space="preserve">LOT 5</t>
        </is>
      </c>
      <c r="C20" s="4" t="inlineStr">
        <is>
          <t xml:space="preserve">Revalider l'ancien blocage Execution Integrity sur le code actuel</t>
        </is>
      </c>
      <c r="D20" s="4" t="inlineStr">
        <is>
          <t>Production</t>
        </is>
      </c>
      <c r="E20" s="4" t="inlineStr">
        <is>
          <t>P0</t>
        </is>
      </c>
      <c r="F20" s="4" t="inlineStr">
        <is>
          <t>NOVA-R04</t>
        </is>
      </c>
      <c r="G20" s="4" t="inlineStr">
        <is>
          <t xml:space="preserve">À auditer</t>
        </is>
      </c>
      <c r="H20" s="4" t="inlineStr">
        <is>
          <t xml:space="preserve">Ancien P1-002 de juillet ; preuve historique obsolète</t>
        </is>
      </c>
      <c r="I20" s="23">
        <v>46304</v>
      </c>
      <c r="J20" s="4">
        <v>2</v>
      </c>
      <c r="K20" s="24">
        <f>I20+J20-1</f>
      </c>
      <c r="L20" s="7">
        <f>IF(G20="Terminé",1,IF(G20="En cours",0.5,0))</f>
      </c>
      <c r="M20" s="8">
        <f>IF(OR(G20="Terminé",K20=""),0,MAX(0,TODAY()-K20))</f>
      </c>
      <c r="N20" s="8">
        <f>IF(G20="Terminé","OK",IF(M20&gt;0,"RETARD",IF(TODAY()&gt;=I20,"EN COURS / À LANCER","À VENIR")))</f>
      </c>
      <c r="O20" s="15"/>
      <c r="S20" t="inlineStr">
        <is>
          <t>NON RATTACHE</t>
        </is>
      </c>
    </row>
    <row r="21">
      <c r="A21" s="4" t="inlineStr">
        <is>
          <t>NOVA-R17</t>
        </is>
      </c>
      <c r="B21" s="4" t="inlineStr">
        <is>
          <t xml:space="preserve">LOT 5</t>
        </is>
      </c>
      <c r="C21" s="4" t="inlineStr">
        <is>
          <t xml:space="preserve">Revalider la persistance/reprise des sessions d'exécution</t>
        </is>
      </c>
      <c r="D21" s="4" t="inlineStr">
        <is>
          <t>Production</t>
        </is>
      </c>
      <c r="E21" s="4" t="inlineStr">
        <is>
          <t>P0</t>
        </is>
      </c>
      <c r="F21" s="4" t="inlineStr">
        <is>
          <t>NOVA-R04</t>
        </is>
      </c>
      <c r="G21" s="4" t="inlineStr">
        <is>
          <t xml:space="preserve">À auditer</t>
        </is>
      </c>
      <c r="H21" s="4" t="inlineStr">
        <is>
          <t xml:space="preserve">Checkpoints durables présents ; ancien P1-005 à revalider</t>
        </is>
      </c>
      <c r="I21" s="23">
        <v>46308</v>
      </c>
      <c r="J21" s="4">
        <v>2</v>
      </c>
      <c r="K21" s="24">
        <f>I21+J21-1</f>
      </c>
      <c r="L21" s="7">
        <f>IF(G21="Terminé",1,IF(G21="En cours",0.5,0))</f>
      </c>
      <c r="M21" s="8">
        <f>IF(OR(G21="Terminé",K21=""),0,MAX(0,TODAY()-K21))</f>
      </c>
      <c r="N21" s="8">
        <f>IF(G21="Terminé","OK",IF(M21&gt;0,"RETARD",IF(TODAY()&gt;=I21,"EN COURS / À LANCER","À VENIR")))</f>
      </c>
      <c r="O21" s="15"/>
      <c r="S21" t="inlineStr">
        <is>
          <t>NON RATTACHE</t>
        </is>
      </c>
    </row>
    <row r="22">
      <c r="A22" s="4" t="inlineStr">
        <is>
          <t>NOVA-R18</t>
        </is>
      </c>
      <c r="B22" s="4" t="inlineStr">
        <is>
          <t xml:space="preserve">LOT 5</t>
        </is>
      </c>
      <c r="C22" s="4" t="inlineStr">
        <is>
          <t xml:space="preserve">Revalider l'intégration certifiée Runtime en chemin non-test</t>
        </is>
      </c>
      <c r="D22" s="4" t="inlineStr">
        <is>
          <t>Production</t>
        </is>
      </c>
      <c r="E22" s="4" t="inlineStr">
        <is>
          <t>P0</t>
        </is>
      </c>
      <c r="F22" s="4" t="inlineStr">
        <is>
          <t>NOVA-R04</t>
        </is>
      </c>
      <c r="G22" s="4" t="inlineStr">
        <is>
          <t xml:space="preserve">À auditer</t>
        </is>
      </c>
      <c r="H22" s="4" t="inlineStr">
        <is>
          <t xml:space="preserve">ProgramProductionEntrypoint existe ; ancien P1-006 à revalider après assemblage</t>
        </is>
      </c>
      <c r="I22" s="23">
        <v>46310</v>
      </c>
      <c r="J22" s="4">
        <v>2</v>
      </c>
      <c r="K22" s="24">
        <f>I22+J22-1</f>
      </c>
      <c r="L22" s="7">
        <f>IF(G22="Terminé",1,IF(G22="En cours",0.5,0))</f>
      </c>
      <c r="M22" s="8">
        <f>IF(OR(G22="Terminé",K22=""),0,MAX(0,TODAY()-K22))</f>
      </c>
      <c r="N22" s="8">
        <f>IF(G22="Terminé","OK",IF(M22&gt;0,"RETARD",IF(TODAY()&gt;=I22,"EN COURS / À LANCER","À VENIR")))</f>
      </c>
      <c r="O22" s="15"/>
      <c r="S22" t="inlineStr">
        <is>
          <t>NON RATTACHE</t>
        </is>
      </c>
    </row>
    <row r="23">
      <c r="A23" s="4" t="inlineStr">
        <is>
          <t>NOVA-R19</t>
        </is>
      </c>
      <c r="B23" s="4" t="inlineStr">
        <is>
          <t xml:space="preserve">LOT 5</t>
        </is>
      </c>
      <c r="C23" s="4" t="inlineStr">
        <is>
          <t xml:space="preserve">Revalider la provenance Git et l'empreinte du worktree</t>
        </is>
      </c>
      <c r="D23" s="4" t="inlineStr">
        <is>
          <t>Production</t>
        </is>
      </c>
      <c r="E23" s="4" t="inlineStr">
        <is>
          <t>P0</t>
        </is>
      </c>
      <c r="F23" s="4" t="inlineStr">
        <is>
          <t>NOVA-R04</t>
        </is>
      </c>
      <c r="G23" s="4" t="inlineStr">
        <is>
          <t xml:space="preserve">À auditer</t>
        </is>
      </c>
      <c r="H23" s="4" t="inlineStr">
        <is>
          <t xml:space="preserve">GitProvenance existe ; ancien P1-007 à revalider sur HEAD actuel</t>
        </is>
      </c>
      <c r="I23" s="23">
        <v>46314</v>
      </c>
      <c r="J23" s="4">
        <v>2</v>
      </c>
      <c r="K23" s="24">
        <f>I23+J23-1</f>
      </c>
      <c r="L23" s="7">
        <f>IF(G23="Terminé",1,IF(G23="En cours",0.5,0))</f>
      </c>
      <c r="M23" s="8">
        <f>IF(OR(G23="Terminé",K23=""),0,MAX(0,TODAY()-K23))</f>
      </c>
      <c r="N23" s="8">
        <f>IF(G23="Terminé","OK",IF(M23&gt;0,"RETARD",IF(TODAY()&gt;=I23,"EN COURS / À LANCER","À VENIR")))</f>
      </c>
      <c r="O23" s="15"/>
      <c r="S23" t="inlineStr">
        <is>
          <t>NON RATTACHE</t>
        </is>
      </c>
    </row>
    <row r="24">
      <c r="A24" s="4" t="inlineStr">
        <is>
          <t>NOVA-R20</t>
        </is>
      </c>
      <c r="B24" s="4" t="inlineStr">
        <is>
          <t xml:space="preserve">LOT 6</t>
        </is>
      </c>
      <c r="C24" s="4" t="inlineStr">
        <is>
          <t xml:space="preserve">Prouver Home → Work → Activity/Plan/People/Sources/Decisions/Deliverables</t>
        </is>
      </c>
      <c r="D24" s="4" t="inlineStr">
        <is>
          <t xml:space="preserve">E2E Produit</t>
        </is>
      </c>
      <c r="E24" s="4" t="inlineStr">
        <is>
          <t>P0</t>
        </is>
      </c>
      <c r="F24" s="4" t="inlineStr">
        <is>
          <t>NOVA-R12,R15</t>
        </is>
      </c>
      <c r="G24" s="4" t="inlineStr">
        <is>
          <t xml:space="preserve">À faire</t>
        </is>
      </c>
      <c r="H24" s="4" t="inlineStr">
        <is>
          <t xml:space="preserve">Certaines routes réelles existent ; chaîne produit complète non démontrée</t>
        </is>
      </c>
      <c r="I24" s="23">
        <v>46321</v>
      </c>
      <c r="J24" s="4">
        <v>3</v>
      </c>
      <c r="K24" s="24">
        <f>I24+J24-1</f>
      </c>
      <c r="L24" s="7">
        <f>IF(G24="Terminé",1,IF(G24="En cours",0.5,0))</f>
      </c>
      <c r="M24" s="8">
        <f>IF(OR(G24="Terminé",K24=""),0,MAX(0,TODAY()-K24))</f>
      </c>
      <c r="N24" s="8">
        <f>IF(G24="Terminé","OK",IF(M24&gt;0,"RETARD",IF(TODAY()&gt;=I24,"EN COURS / À LANCER","À VENIR")))</f>
      </c>
      <c r="O24" s="15"/>
      <c r="S24" t="inlineStr">
        <is>
          <t>NON RATTACHE</t>
        </is>
      </c>
    </row>
    <row r="25">
      <c r="A25" s="4" t="inlineStr">
        <is>
          <t>NOVA-R21</t>
        </is>
      </c>
      <c r="B25" s="4" t="inlineStr">
        <is>
          <t xml:space="preserve">LOT 6</t>
        </is>
      </c>
      <c r="C25" s="4" t="inlineStr">
        <is>
          <t xml:space="preserve">Prouver création et exécution d'un Work avec données persistées</t>
        </is>
      </c>
      <c r="D25" s="4" t="inlineStr">
        <is>
          <t xml:space="preserve">E2E Produit</t>
        </is>
      </c>
      <c r="E25" s="4" t="inlineStr">
        <is>
          <t>P0</t>
        </is>
      </c>
      <c r="F25" s="4" t="inlineStr">
        <is>
          <t>NOVA-R06,R17</t>
        </is>
      </c>
      <c r="G25" s="4" t="inlineStr">
        <is>
          <t xml:space="preserve">À faire</t>
        </is>
      </c>
      <c r="H25" s="4" t="inlineStr">
        <is>
          <t xml:space="preserve">Mission/Runtime existe ; preuve produit complète requise</t>
        </is>
      </c>
      <c r="I25" s="23">
        <v>46324</v>
      </c>
      <c r="J25" s="4">
        <v>2</v>
      </c>
      <c r="K25" s="24">
        <f>I25+J25-1</f>
      </c>
      <c r="L25" s="7">
        <f>IF(G25="Terminé",1,IF(G25="En cours",0.5,0))</f>
      </c>
      <c r="M25" s="8">
        <f>IF(OR(G25="Terminé",K25=""),0,MAX(0,TODAY()-K25))</f>
      </c>
      <c r="N25" s="8">
        <f>IF(G25="Terminé","OK",IF(M25&gt;0,"RETARD",IF(TODAY()&gt;=I25,"EN COURS / À LANCER","À VENIR")))</f>
      </c>
      <c r="O25" s="15"/>
      <c r="S25" t="inlineStr">
        <is>
          <t>NON RATTACHE</t>
        </is>
      </c>
    </row>
    <row r="26">
      <c r="A26" s="4" t="inlineStr">
        <is>
          <t>NOVA-R22</t>
        </is>
      </c>
      <c r="B26" s="4" t="inlineStr">
        <is>
          <t xml:space="preserve">LOT 6</t>
        </is>
      </c>
      <c r="C26" s="4" t="inlineStr">
        <is>
          <t xml:space="preserve">Tests de non-régression Front + BFF + Core + Runtime</t>
        </is>
      </c>
      <c r="D26" s="4" t="inlineStr">
        <is>
          <t>Qualité</t>
        </is>
      </c>
      <c r="E26" s="4" t="inlineStr">
        <is>
          <t>P0</t>
        </is>
      </c>
      <c r="F26" s="4" t="inlineStr">
        <is>
          <t>NOVA-R20,R21</t>
        </is>
      </c>
      <c r="G26" s="4" t="inlineStr">
        <is>
          <t xml:space="preserve">À faire</t>
        </is>
      </c>
      <c r="H26" s="4" t="inlineStr">
        <is>
          <t xml:space="preserve">Suites existantes ; campagne consolidée après intégration requise</t>
        </is>
      </c>
      <c r="I26" s="23">
        <v>46328</v>
      </c>
      <c r="J26" s="4">
        <v>2</v>
      </c>
      <c r="K26" s="24">
        <f>I26+J26-1</f>
      </c>
      <c r="L26" s="7">
        <f>IF(G26="Terminé",1,IF(G26="En cours",0.5,0))</f>
      </c>
      <c r="M26" s="8">
        <f>IF(OR(G26="Terminé",K26=""),0,MAX(0,TODAY()-K26))</f>
      </c>
      <c r="N26" s="8">
        <f>IF(G26="Terminé","OK",IF(M26&gt;0,"RETARD",IF(TODAY()&gt;=I26,"EN COURS / À LANCER","À VENIR")))</f>
      </c>
      <c r="O26" s="15"/>
      <c r="S26" t="inlineStr">
        <is>
          <t>NON RATTACHE</t>
        </is>
      </c>
    </row>
    <row r="27">
      <c r="A27" s="4" t="inlineStr">
        <is>
          <t>NOVA-R23</t>
        </is>
      </c>
      <c r="B27" s="4" t="inlineStr">
        <is>
          <t xml:space="preserve">LOT 7</t>
        </is>
      </c>
      <c r="C27" s="4" t="inlineStr">
        <is>
          <t xml:space="preserve">Audit responsive, accessibilité et états erreur/chargement</t>
        </is>
      </c>
      <c r="D27" s="4" t="inlineStr">
        <is>
          <t>UX/Qualité</t>
        </is>
      </c>
      <c r="E27" s="4" t="inlineStr">
        <is>
          <t>P1</t>
        </is>
      </c>
      <c r="F27" s="4" t="inlineStr">
        <is>
          <t>NOVA-R20</t>
        </is>
      </c>
      <c r="G27" s="4" t="inlineStr">
        <is>
          <t xml:space="preserve">À auditer</t>
        </is>
      </c>
      <c r="H27" s="4" t="inlineStr">
        <is>
          <t xml:space="preserve">Programme frontend historique ; état final as-built à certifier</t>
        </is>
      </c>
      <c r="I27" s="23">
        <v>46330</v>
      </c>
      <c r="J27" s="4">
        <v>2</v>
      </c>
      <c r="K27" s="24">
        <f>I27+J27-1</f>
      </c>
      <c r="L27" s="7">
        <f>IF(G27="Terminé",1,IF(G27="En cours",0.5,0))</f>
      </c>
      <c r="M27" s="8">
        <f>IF(OR(G27="Terminé",K27=""),0,MAX(0,TODAY()-K27))</f>
      </c>
      <c r="N27" s="8">
        <f>IF(G27="Terminé","OK",IF(M27&gt;0,"RETARD",IF(TODAY()&gt;=I27,"EN COURS / À LANCER","À VENIR")))</f>
      </c>
      <c r="O27" s="15"/>
      <c r="S27" t="inlineStr">
        <is>
          <t>NON RATTACHE</t>
        </is>
      </c>
    </row>
    <row r="28">
      <c r="A28" s="4" t="inlineStr">
        <is>
          <t>NOVA-R24</t>
        </is>
      </c>
      <c r="B28" s="4" t="inlineStr">
        <is>
          <t xml:space="preserve">LOT 7</t>
        </is>
      </c>
      <c r="C28" s="4" t="inlineStr">
        <is>
          <t xml:space="preserve">Validation pixel-perfect des écrans prioritaires</t>
        </is>
      </c>
      <c r="D28" s="4" t="inlineStr">
        <is>
          <t>UX/Qualité</t>
        </is>
      </c>
      <c r="E28" s="4" t="inlineStr">
        <is>
          <t>P1</t>
        </is>
      </c>
      <c r="F28" s="4" t="inlineStr">
        <is>
          <t>NOVA-R20</t>
        </is>
      </c>
      <c r="G28" s="4" t="inlineStr">
        <is>
          <t xml:space="preserve">À auditer</t>
        </is>
      </c>
      <c r="H28" s="4" t="inlineStr">
        <is>
          <t xml:space="preserve">Programme visual certification existe ; état final à revalider</t>
        </is>
      </c>
      <c r="I28" s="23">
        <v>46332</v>
      </c>
      <c r="J28" s="4">
        <v>2</v>
      </c>
      <c r="K28" s="24">
        <f>I28+J28-1</f>
      </c>
      <c r="L28" s="7">
        <f>IF(G28="Terminé",1,IF(G28="En cours",0.5,0))</f>
      </c>
      <c r="M28" s="8">
        <f>IF(OR(G28="Terminé",K28=""),0,MAX(0,TODAY()-K28))</f>
      </c>
      <c r="N28" s="8">
        <f>IF(G28="Terminé","OK",IF(M28&gt;0,"RETARD",IF(TODAY()&gt;=I28,"EN COURS / À LANCER","À VENIR")))</f>
      </c>
      <c r="O28" s="15"/>
      <c r="S28" t="inlineStr">
        <is>
          <t>NON RATTACHE</t>
        </is>
      </c>
    </row>
    <row r="29">
      <c r="A29" s="4" t="inlineStr">
        <is>
          <t>NOVA-R25</t>
        </is>
      </c>
      <c r="B29" s="4" t="inlineStr">
        <is>
          <t xml:space="preserve">LOT 8</t>
        </is>
      </c>
      <c r="C29" s="4" t="inlineStr">
        <is>
          <t xml:space="preserve">Valider configuration de déploiement, secrets, sauvegarde et restauration</t>
        </is>
      </c>
      <c r="D29" s="4" t="inlineStr">
        <is>
          <t>Production</t>
        </is>
      </c>
      <c r="E29" s="4" t="inlineStr">
        <is>
          <t>P0</t>
        </is>
      </c>
      <c r="F29" s="4" t="inlineStr">
        <is>
          <t>NOVA-R16,R17,R18,R19</t>
        </is>
      </c>
      <c r="G29" s="4" t="inlineStr">
        <is>
          <t xml:space="preserve">À auditer</t>
        </is>
      </c>
      <c r="H29" s="4" t="inlineStr">
        <is>
          <t xml:space="preserve">Runbooks historiques existent ; preuves actuelles requises</t>
        </is>
      </c>
      <c r="I29" s="23">
        <v>46335</v>
      </c>
      <c r="J29" s="4">
        <v>3</v>
      </c>
      <c r="K29" s="24">
        <f>I29+J29-1</f>
      </c>
      <c r="L29" s="7">
        <f>IF(G29="Terminé",1,IF(G29="En cours",0.5,0))</f>
      </c>
      <c r="M29" s="8">
        <f>IF(OR(G29="Terminé",K29=""),0,MAX(0,TODAY()-K29))</f>
      </c>
      <c r="N29" s="8">
        <f>IF(G29="Terminé","OK",IF(M29&gt;0,"RETARD",IF(TODAY()&gt;=I29,"EN COURS / À LANCER","À VENIR")))</f>
      </c>
      <c r="O29" s="15"/>
      <c r="S29" t="inlineStr">
        <is>
          <t>NON RATTACHE</t>
        </is>
      </c>
    </row>
    <row r="30">
      <c r="A30" s="4" t="inlineStr">
        <is>
          <t>NOVA-R26</t>
        </is>
      </c>
      <c r="B30" s="4" t="inlineStr">
        <is>
          <t xml:space="preserve">LOT 8</t>
        </is>
      </c>
      <c r="C30" s="4" t="inlineStr">
        <is>
          <t xml:space="preserve">Valider observabilité, logs, erreurs, timeout, annulation et reprise</t>
        </is>
      </c>
      <c r="D30" s="4" t="inlineStr">
        <is>
          <t>Production</t>
        </is>
      </c>
      <c r="E30" s="4" t="inlineStr">
        <is>
          <t>P0</t>
        </is>
      </c>
      <c r="F30" s="4" t="inlineStr">
        <is>
          <t>NOVA-R25</t>
        </is>
      </c>
      <c r="G30" s="4" t="inlineStr">
        <is>
          <t xml:space="preserve">À auditer</t>
        </is>
      </c>
      <c r="H30" s="4" t="inlineStr">
        <is>
          <t xml:space="preserve">Capacités existent partiellement ; démonstration intégrée requise</t>
        </is>
      </c>
      <c r="I30" s="23">
        <v>46338</v>
      </c>
      <c r="J30" s="4">
        <v>2</v>
      </c>
      <c r="K30" s="24">
        <f>I30+J30-1</f>
      </c>
      <c r="L30" s="7">
        <f>IF(G30="Terminé",1,IF(G30="En cours",0.5,0))</f>
      </c>
      <c r="M30" s="8">
        <f>IF(OR(G30="Terminé",K30=""),0,MAX(0,TODAY()-K30))</f>
      </c>
      <c r="N30" s="8">
        <f>IF(G30="Terminé","OK",IF(M30&gt;0,"RETARD",IF(TODAY()&gt;=I30,"EN COURS / À LANCER","À VENIR")))</f>
      </c>
      <c r="O30" s="15"/>
      <c r="S30" t="inlineStr">
        <is>
          <t>NON RATTACHE</t>
        </is>
      </c>
    </row>
    <row r="31">
      <c r="A31" s="4" t="inlineStr">
        <is>
          <t>NOVA-R27</t>
        </is>
      </c>
      <c r="B31" s="4" t="inlineStr">
        <is>
          <t xml:space="preserve">LOT 8</t>
        </is>
      </c>
      <c r="C31" s="4" t="inlineStr">
        <is>
          <t xml:space="preserve">Exécuter la recette produit complète sur environnement cible</t>
        </is>
      </c>
      <c r="D31" s="4" t="inlineStr">
        <is>
          <t>Certification</t>
        </is>
      </c>
      <c r="E31" s="4" t="inlineStr">
        <is>
          <t>P0</t>
        </is>
      </c>
      <c r="F31" s="4" t="inlineStr">
        <is>
          <t>NOVA-R22,R23,R24,R26</t>
        </is>
      </c>
      <c r="G31" s="4" t="inlineStr">
        <is>
          <t xml:space="preserve">À faire</t>
        </is>
      </c>
      <c r="H31" s="4" t="inlineStr">
        <is>
          <t xml:space="preserve">Doit être réalisée après fermeture des gaps d'intégration</t>
        </is>
      </c>
      <c r="I31" s="23">
        <v>46342</v>
      </c>
      <c r="J31" s="4">
        <v>3</v>
      </c>
      <c r="K31" s="24">
        <f>I31+J31-1</f>
      </c>
      <c r="L31" s="7">
        <f>IF(G31="Terminé",1,IF(G31="En cours",0.5,0))</f>
      </c>
      <c r="M31" s="8">
        <f>IF(OR(G31="Terminé",K31=""),0,MAX(0,TODAY()-K31))</f>
      </c>
      <c r="N31" s="8">
        <f>IF(G31="Terminé","OK",IF(M31&gt;0,"RETARD",IF(TODAY()&gt;=I31,"EN COURS / À LANCER","À VENIR")))</f>
      </c>
      <c r="O31" s="15"/>
      <c r="S31" t="inlineStr">
        <is>
          <t>NON RATTACHE</t>
        </is>
      </c>
    </row>
    <row r="32">
      <c r="A32" s="4" t="inlineStr">
        <is>
          <t>NOVA-R28</t>
        </is>
      </c>
      <c r="B32" s="4" t="inlineStr">
        <is>
          <t xml:space="preserve">LOT 8</t>
        </is>
      </c>
      <c r="C32" s="4" t="inlineStr">
        <is>
          <t xml:space="preserve">Décision finale GO/NO GO production fondée sur preuves actuelles</t>
        </is>
      </c>
      <c r="D32" s="4" t="inlineStr">
        <is>
          <t>Certification</t>
        </is>
      </c>
      <c r="E32" s="4" t="inlineStr">
        <is>
          <t>P0</t>
        </is>
      </c>
      <c r="F32" s="4" t="inlineStr">
        <is>
          <t>NOVA-R27</t>
        </is>
      </c>
      <c r="G32" s="4" t="inlineStr">
        <is>
          <t xml:space="preserve">À faire</t>
        </is>
      </c>
      <c r="H32" s="4" t="inlineStr">
        <is>
          <t xml:space="preserve">Ne pas réutiliser le NO_GO historique de juillet comme état courant</t>
        </is>
      </c>
      <c r="I32" s="23">
        <v>46345</v>
      </c>
      <c r="J32" s="4">
        <v>1</v>
      </c>
      <c r="K32" s="24">
        <f>I32+J32-1</f>
      </c>
      <c r="L32" s="7">
        <f>IF(G32="Terminé",1,IF(G32="En cours",0.5,0))</f>
      </c>
      <c r="M32" s="8">
        <f>IF(OR(G32="Terminé",K32=""),0,MAX(0,TODAY()-K32))</f>
      </c>
      <c r="N32" s="8">
        <f>IF(G32="Terminé","OK",IF(M32&gt;0,"RETARD",IF(TODAY()&gt;=I32,"EN COURS / À LANCER","À VENIR")))</f>
      </c>
      <c r="O32" s="15"/>
      <c r="S32" t="inlineStr">
        <is>
          <t>NON RATTACHE</t>
        </is>
      </c>
    </row>
  </sheetData>
  <autoFilter ref="A4:S32"/>
  <mergeCells count="2">
    <mergeCell ref="A2:N2"/>
    <mergeCell ref="A1:N1"/>
  </mergeCells>
  <conditionalFormatting sqref="N5:N32">
    <cfRule type="expression" priority="1" dxfId="0">
      <formula>$N5="RETARD"</formula>
    </cfRule>
    <cfRule type="expression" priority="2" dxfId="1">
      <formula>$N5="EN COURS / À LANCER"</formula>
    </cfRule>
  </conditionalFormatting>
  <conditionalFormatting sqref="G5:G32">
    <cfRule type="expression" priority="3" dxfId="2">
      <formula>$G5="Terminé"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customWidth="1" min="1" max="1" width="14"/>
    <col customWidth="1" min="2" max="2" width="12"/>
    <col customWidth="1" min="3" max="3" width="52"/>
    <col customWidth="1" min="4" max="4" width="13"/>
    <col customWidth="1" min="5" max="5" width="13"/>
    <col customWidth="1" min="6" max="6" width="16"/>
    <col customWidth="1" min="7" max="7" width="3.2000000000000002"/>
    <col customWidth="1" min="8" max="8" width="3.2000000000000002"/>
    <col customWidth="1" min="9" max="9" width="3.2000000000000002"/>
    <col customWidth="1" min="10" max="10" width="3.2000000000000002"/>
    <col customWidth="1" min="11" max="11" width="3.2000000000000002"/>
    <col customWidth="1" min="12" max="12" width="3.2000000000000002"/>
    <col customWidth="1" min="13" max="13" width="3.2000000000000002"/>
    <col customWidth="1" min="14" max="14" width="3.2000000000000002"/>
    <col customWidth="1" min="15" max="15" width="3.2000000000000002"/>
    <col customWidth="1" min="16" max="16" width="3.2000000000000002"/>
    <col customWidth="1" min="17" max="17" width="3.2000000000000002"/>
    <col customWidth="1" min="18" max="18" width="3.2000000000000002"/>
    <col customWidth="1" min="19" max="19" width="3.2000000000000002"/>
    <col customWidth="1" min="20" max="20" width="3.2000000000000002"/>
    <col customWidth="1" min="21" max="21" width="3.2000000000000002"/>
    <col customWidth="1" min="22" max="22" width="3.2000000000000002"/>
    <col customWidth="1" min="23" max="23" width="3.2000000000000002"/>
    <col customWidth="1" min="24" max="24" width="3.2000000000000002"/>
    <col customWidth="1" min="25" max="25" width="3.2000000000000002"/>
    <col customWidth="1" min="26" max="26" width="3.2000000000000002"/>
    <col customWidth="1" min="27" max="27" width="3.2000000000000002"/>
    <col customWidth="1" min="28" max="28" width="3.2000000000000002"/>
    <col customWidth="1" min="29" max="29" width="3.2000000000000002"/>
    <col customWidth="1" min="30" max="30" width="3.2000000000000002"/>
    <col customWidth="1" min="31" max="31" width="3.2000000000000002"/>
    <col customWidth="1" min="32" max="32" width="3.2000000000000002"/>
    <col customWidth="1" min="33" max="33" width="3.2000000000000002"/>
    <col customWidth="1" min="34" max="34" width="3.2000000000000002"/>
    <col customWidth="1" min="35" max="35" width="3.2000000000000002"/>
    <col customWidth="1" min="36" max="36" width="3.2000000000000002"/>
    <col customWidth="1" min="37" max="37" width="3.2000000000000002"/>
    <col customWidth="1" min="38" max="38" width="3.2000000000000002"/>
    <col customWidth="1" min="39" max="39" width="3.2000000000000002"/>
    <col customWidth="1" min="40" max="40" width="3.2000000000000002"/>
    <col customWidth="1" min="41" max="41" width="3.2000000000000002"/>
    <col customWidth="1" min="42" max="42" width="3.2000000000000002"/>
    <col customWidth="1" min="43" max="43" width="3.2000000000000002"/>
    <col customWidth="1" min="44" max="44" width="3.2000000000000002"/>
    <col customWidth="1" min="45" max="45" width="3.2000000000000002"/>
  </cols>
  <sheetData>
    <row r="1">
      <c r="A1" s="9" t="inlineStr">
        <is>
          <t xml:space="preserve">NOVA — GANTT DE FINALISATION</t>
        </is>
      </c>
    </row>
    <row r="2">
      <c r="A2" s="10" t="inlineStr">
        <is>
          <t xml:space="preserve">Dates = estimations de pilotage modifiables ; les statuts doivent être alimentés par les preuves officielles.</t>
        </is>
      </c>
    </row>
    <row r="4">
      <c r="A4" s="11" t="inlineStr">
        <is>
          <t>ID</t>
        </is>
      </c>
      <c r="B4" s="11" t="inlineStr">
        <is>
          <t>Lot</t>
        </is>
      </c>
      <c r="C4" s="11" t="inlineStr">
        <is>
          <t>Tâche</t>
        </is>
      </c>
      <c r="D4" s="11" t="inlineStr">
        <is>
          <t>Début</t>
        </is>
      </c>
      <c r="E4" s="11" t="inlineStr">
        <is>
          <t>Fin</t>
        </is>
      </c>
      <c r="F4" s="11" t="inlineStr">
        <is>
          <t>Statut</t>
        </is>
      </c>
      <c r="G4" s="25">
        <v>46294</v>
      </c>
      <c r="H4" s="25">
        <v>46295</v>
      </c>
      <c r="I4" s="25">
        <v>46296</v>
      </c>
      <c r="J4" s="25">
        <v>46297</v>
      </c>
      <c r="K4" s="25">
        <v>46300</v>
      </c>
      <c r="L4" s="25">
        <v>46301</v>
      </c>
      <c r="M4" s="25">
        <v>46302</v>
      </c>
      <c r="N4" s="25">
        <v>46303</v>
      </c>
      <c r="O4" s="25">
        <v>46304</v>
      </c>
      <c r="P4" s="25">
        <v>46307</v>
      </c>
      <c r="Q4" s="25">
        <v>46308</v>
      </c>
      <c r="R4" s="25">
        <v>46309</v>
      </c>
      <c r="S4" s="25">
        <v>46310</v>
      </c>
      <c r="T4" s="25">
        <v>46311</v>
      </c>
      <c r="U4" s="25">
        <v>46314</v>
      </c>
      <c r="V4" s="25">
        <v>46315</v>
      </c>
      <c r="W4" s="25">
        <v>46316</v>
      </c>
      <c r="X4" s="25">
        <v>46317</v>
      </c>
      <c r="Y4" s="25">
        <v>46318</v>
      </c>
      <c r="Z4" s="25">
        <v>46321</v>
      </c>
      <c r="AA4" s="25">
        <v>46322</v>
      </c>
      <c r="AB4" s="25">
        <v>46323</v>
      </c>
      <c r="AC4" s="25">
        <v>46324</v>
      </c>
      <c r="AD4" s="25">
        <v>46325</v>
      </c>
      <c r="AE4" s="25">
        <v>46328</v>
      </c>
      <c r="AF4" s="25">
        <v>46329</v>
      </c>
      <c r="AG4" s="25">
        <v>46330</v>
      </c>
      <c r="AH4" s="25">
        <v>46331</v>
      </c>
      <c r="AI4" s="25">
        <v>46332</v>
      </c>
      <c r="AJ4" s="25">
        <v>46335</v>
      </c>
      <c r="AK4" s="25">
        <v>46336</v>
      </c>
      <c r="AL4" s="25">
        <v>46337</v>
      </c>
      <c r="AM4" s="25">
        <v>46338</v>
      </c>
      <c r="AN4" s="25">
        <v>46339</v>
      </c>
      <c r="AO4" s="25">
        <v>46342</v>
      </c>
      <c r="AP4" s="25">
        <v>46343</v>
      </c>
      <c r="AQ4" s="25">
        <v>46344</v>
      </c>
      <c r="AR4" s="25">
        <v>46345</v>
      </c>
      <c r="AS4" s="25">
        <v>46346</v>
      </c>
    </row>
    <row r="5">
      <c r="A5" t="inlineStr">
        <is>
          <t>NOVA-R01</t>
        </is>
      </c>
      <c r="B5" t="inlineStr">
        <is>
          <t xml:space="preserve">LOT 0</t>
        </is>
      </c>
      <c r="C5" t="inlineStr">
        <is>
          <t xml:space="preserve">Figer la baseline as-built et le registre des gaps actuels</t>
        </is>
      </c>
      <c r="D5" s="26">
        <f>Roadmap!I5</f>
      </c>
      <c r="E5" s="26">
        <f>Roadmap!K5</f>
      </c>
      <c r="F5">
        <f>Roadmap!G5</f>
      </c>
      <c r="G5" s="27">
        <f>IF(AND(G$4&gt;=$D5,G$4&lt;=$E5),1,"")</f>
      </c>
      <c r="H5" s="27">
        <f>IF(AND(H$4&gt;=$D5,H$4&lt;=$E5),1,"")</f>
      </c>
      <c r="I5" s="27">
        <f>IF(AND(I$4&gt;=$D5,I$4&lt;=$E5),1,"")</f>
      </c>
      <c r="J5" s="27">
        <f>IF(AND(J$4&gt;=$D5,J$4&lt;=$E5),1,"")</f>
      </c>
      <c r="K5" s="27">
        <f>IF(AND(K$4&gt;=$D5,K$4&lt;=$E5),1,"")</f>
      </c>
      <c r="L5" s="27">
        <f>IF(AND(L$4&gt;=$D5,L$4&lt;=$E5),1,"")</f>
      </c>
      <c r="M5" s="27">
        <f>IF(AND(M$4&gt;=$D5,M$4&lt;=$E5),1,"")</f>
      </c>
      <c r="N5" s="27">
        <f>IF(AND(N$4&gt;=$D5,N$4&lt;=$E5),1,"")</f>
      </c>
      <c r="O5" s="27">
        <f>IF(AND(O$4&gt;=$D5,O$4&lt;=$E5),1,"")</f>
      </c>
      <c r="P5" s="27">
        <f>IF(AND(P$4&gt;=$D5,P$4&lt;=$E5),1,"")</f>
      </c>
      <c r="Q5" s="27">
        <f>IF(AND(Q$4&gt;=$D5,Q$4&lt;=$E5),1,"")</f>
      </c>
      <c r="R5" s="27">
        <f>IF(AND(R$4&gt;=$D5,R$4&lt;=$E5),1,"")</f>
      </c>
      <c r="S5" s="27">
        <f>IF(AND(S$4&gt;=$D5,S$4&lt;=$E5),1,"")</f>
      </c>
      <c r="T5" s="27">
        <f>IF(AND(T$4&gt;=$D5,T$4&lt;=$E5),1,"")</f>
      </c>
      <c r="U5" s="27">
        <f>IF(AND(U$4&gt;=$D5,U$4&lt;=$E5),1,"")</f>
      </c>
      <c r="V5" s="27">
        <f>IF(AND(V$4&gt;=$D5,V$4&lt;=$E5),1,"")</f>
      </c>
      <c r="W5" s="27">
        <f>IF(AND(W$4&gt;=$D5,W$4&lt;=$E5),1,"")</f>
      </c>
      <c r="X5" s="27">
        <f>IF(AND(X$4&gt;=$D5,X$4&lt;=$E5),1,"")</f>
      </c>
      <c r="Y5" s="27">
        <f>IF(AND(Y$4&gt;=$D5,Y$4&lt;=$E5),1,"")</f>
      </c>
      <c r="Z5" s="27">
        <f>IF(AND(Z$4&gt;=$D5,Z$4&lt;=$E5),1,"")</f>
      </c>
      <c r="AA5" s="27">
        <f>IF(AND(AA$4&gt;=$D5,AA$4&lt;=$E5),1,"")</f>
      </c>
      <c r="AB5" s="27">
        <f>IF(AND(AB$4&gt;=$D5,AB$4&lt;=$E5),1,"")</f>
      </c>
      <c r="AC5" s="27">
        <f>IF(AND(AC$4&gt;=$D5,AC$4&lt;=$E5),1,"")</f>
      </c>
      <c r="AD5" s="27">
        <f>IF(AND(AD$4&gt;=$D5,AD$4&lt;=$E5),1,"")</f>
      </c>
      <c r="AE5" s="27">
        <f>IF(AND(AE$4&gt;=$D5,AE$4&lt;=$E5),1,"")</f>
      </c>
      <c r="AF5" s="27">
        <f>IF(AND(AF$4&gt;=$D5,AF$4&lt;=$E5),1,"")</f>
      </c>
      <c r="AG5" s="27">
        <f>IF(AND(AG$4&gt;=$D5,AG$4&lt;=$E5),1,"")</f>
      </c>
      <c r="AH5" s="27">
        <f>IF(AND(AH$4&gt;=$D5,AH$4&lt;=$E5),1,"")</f>
      </c>
      <c r="AI5" s="27">
        <f>IF(AND(AI$4&gt;=$D5,AI$4&lt;=$E5),1,"")</f>
      </c>
      <c r="AJ5" s="27">
        <f>IF(AND(AJ$4&gt;=$D5,AJ$4&lt;=$E5),1,"")</f>
      </c>
      <c r="AK5" s="27">
        <f>IF(AND(AK$4&gt;=$D5,AK$4&lt;=$E5),1,"")</f>
      </c>
      <c r="AL5" s="27">
        <f>IF(AND(AL$4&gt;=$D5,AL$4&lt;=$E5),1,"")</f>
      </c>
      <c r="AM5" s="27">
        <f>IF(AND(AM$4&gt;=$D5,AM$4&lt;=$E5),1,"")</f>
      </c>
      <c r="AN5" s="27">
        <f>IF(AND(AN$4&gt;=$D5,AN$4&lt;=$E5),1,"")</f>
      </c>
      <c r="AO5" s="27">
        <f>IF(AND(AO$4&gt;=$D5,AO$4&lt;=$E5),1,"")</f>
      </c>
      <c r="AP5" s="27">
        <f>IF(AND(AP$4&gt;=$D5,AP$4&lt;=$E5),1,"")</f>
      </c>
      <c r="AQ5" s="27">
        <f>IF(AND(AQ$4&gt;=$D5,AQ$4&lt;=$E5),1,"")</f>
      </c>
      <c r="AR5" s="27">
        <f>IF(AND(AR$4&gt;=$D5,AR$4&lt;=$E5),1,"")</f>
      </c>
      <c r="AS5" s="27">
        <f>IF(AND(AS$4&gt;=$D5,AS$4&lt;=$E5),1,"")</f>
      </c>
    </row>
    <row r="6">
      <c r="A6" t="inlineStr">
        <is>
          <t>NOVA-R02</t>
        </is>
      </c>
      <c r="B6" t="inlineStr">
        <is>
          <t xml:space="preserve">LOT 1</t>
        </is>
      </c>
      <c r="C6" t="inlineStr">
        <is>
          <t xml:space="preserve">Assembler ProgramProductionEntrypoint dans le BFF réellement lancé</t>
        </is>
      </c>
      <c r="D6" s="26">
        <f>Roadmap!I6</f>
      </c>
      <c r="E6" s="26">
        <f>Roadmap!K6</f>
      </c>
      <c r="F6">
        <f>Roadmap!G6</f>
      </c>
      <c r="G6" s="27">
        <f>IF(AND(G$4&gt;=$D6,G$4&lt;=$E6),1,"")</f>
      </c>
      <c r="H6" s="27">
        <f>IF(AND(H$4&gt;=$D6,H$4&lt;=$E6),1,"")</f>
      </c>
      <c r="I6" s="27">
        <f>IF(AND(I$4&gt;=$D6,I$4&lt;=$E6),1,"")</f>
      </c>
      <c r="J6" s="27">
        <f>IF(AND(J$4&gt;=$D6,J$4&lt;=$E6),1,"")</f>
      </c>
      <c r="K6" s="27">
        <f>IF(AND(K$4&gt;=$D6,K$4&lt;=$E6),1,"")</f>
      </c>
      <c r="L6" s="27">
        <f>IF(AND(L$4&gt;=$D6,L$4&lt;=$E6),1,"")</f>
      </c>
      <c r="M6" s="27">
        <f>IF(AND(M$4&gt;=$D6,M$4&lt;=$E6),1,"")</f>
      </c>
      <c r="N6" s="27">
        <f>IF(AND(N$4&gt;=$D6,N$4&lt;=$E6),1,"")</f>
      </c>
      <c r="O6" s="27">
        <f>IF(AND(O$4&gt;=$D6,O$4&lt;=$E6),1,"")</f>
      </c>
      <c r="P6" s="27">
        <f>IF(AND(P$4&gt;=$D6,P$4&lt;=$E6),1,"")</f>
      </c>
      <c r="Q6" s="27">
        <f>IF(AND(Q$4&gt;=$D6,Q$4&lt;=$E6),1,"")</f>
      </c>
      <c r="R6" s="27">
        <f>IF(AND(R$4&gt;=$D6,R$4&lt;=$E6),1,"")</f>
      </c>
      <c r="S6" s="27">
        <f>IF(AND(S$4&gt;=$D6,S$4&lt;=$E6),1,"")</f>
      </c>
      <c r="T6" s="27">
        <f>IF(AND(T$4&gt;=$D6,T$4&lt;=$E6),1,"")</f>
      </c>
      <c r="U6" s="27">
        <f>IF(AND(U$4&gt;=$D6,U$4&lt;=$E6),1,"")</f>
      </c>
      <c r="V6" s="27">
        <f>IF(AND(V$4&gt;=$D6,V$4&lt;=$E6),1,"")</f>
      </c>
      <c r="W6" s="27">
        <f>IF(AND(W$4&gt;=$D6,W$4&lt;=$E6),1,"")</f>
      </c>
      <c r="X6" s="27">
        <f>IF(AND(X$4&gt;=$D6,X$4&lt;=$E6),1,"")</f>
      </c>
      <c r="Y6" s="27">
        <f>IF(AND(Y$4&gt;=$D6,Y$4&lt;=$E6),1,"")</f>
      </c>
      <c r="Z6" s="27">
        <f>IF(AND(Z$4&gt;=$D6,Z$4&lt;=$E6),1,"")</f>
      </c>
      <c r="AA6" s="27">
        <f>IF(AND(AA$4&gt;=$D6,AA$4&lt;=$E6),1,"")</f>
      </c>
      <c r="AB6" s="27">
        <f>IF(AND(AB$4&gt;=$D6,AB$4&lt;=$E6),1,"")</f>
      </c>
      <c r="AC6" s="27">
        <f>IF(AND(AC$4&gt;=$D6,AC$4&lt;=$E6),1,"")</f>
      </c>
      <c r="AD6" s="27">
        <f>IF(AND(AD$4&gt;=$D6,AD$4&lt;=$E6),1,"")</f>
      </c>
      <c r="AE6" s="27">
        <f>IF(AND(AE$4&gt;=$D6,AE$4&lt;=$E6),1,"")</f>
      </c>
      <c r="AF6" s="27">
        <f>IF(AND(AF$4&gt;=$D6,AF$4&lt;=$E6),1,"")</f>
      </c>
      <c r="AG6" s="27">
        <f>IF(AND(AG$4&gt;=$D6,AG$4&lt;=$E6),1,"")</f>
      </c>
      <c r="AH6" s="27">
        <f>IF(AND(AH$4&gt;=$D6,AH$4&lt;=$E6),1,"")</f>
      </c>
      <c r="AI6" s="27">
        <f>IF(AND(AI$4&gt;=$D6,AI$4&lt;=$E6),1,"")</f>
      </c>
      <c r="AJ6" s="27">
        <f>IF(AND(AJ$4&gt;=$D6,AJ$4&lt;=$E6),1,"")</f>
      </c>
      <c r="AK6" s="27">
        <f>IF(AND(AK$4&gt;=$D6,AK$4&lt;=$E6),1,"")</f>
      </c>
      <c r="AL6" s="27">
        <f>IF(AND(AL$4&gt;=$D6,AL$4&lt;=$E6),1,"")</f>
      </c>
      <c r="AM6" s="27">
        <f>IF(AND(AM$4&gt;=$D6,AM$4&lt;=$E6),1,"")</f>
      </c>
      <c r="AN6" s="27">
        <f>IF(AND(AN$4&gt;=$D6,AN$4&lt;=$E6),1,"")</f>
      </c>
      <c r="AO6" s="27">
        <f>IF(AND(AO$4&gt;=$D6,AO$4&lt;=$E6),1,"")</f>
      </c>
      <c r="AP6" s="27">
        <f>IF(AND(AP$4&gt;=$D6,AP$4&lt;=$E6),1,"")</f>
      </c>
      <c r="AQ6" s="27">
        <f>IF(AND(AQ$4&gt;=$D6,AQ$4&lt;=$E6),1,"")</f>
      </c>
      <c r="AR6" s="27">
        <f>IF(AND(AR$4&gt;=$D6,AR$4&lt;=$E6),1,"")</f>
      </c>
      <c r="AS6" s="27">
        <f>IF(AND(AS$4&gt;=$D6,AS$4&lt;=$E6),1,"")</f>
      </c>
    </row>
    <row r="7">
      <c r="A7" t="inlineStr">
        <is>
          <t>NOVA-R03</t>
        </is>
      </c>
      <c r="B7" t="inlineStr">
        <is>
          <t xml:space="preserve">LOT 1</t>
        </is>
      </c>
      <c r="C7" t="inlineStr">
        <is>
          <t xml:space="preserve">Configurer stockage durable, authentification production, workspace, Git et transport IA</t>
        </is>
      </c>
      <c r="D7" s="26">
        <f>Roadmap!I7</f>
      </c>
      <c r="E7" s="26">
        <f>Roadmap!K7</f>
      </c>
      <c r="F7">
        <f>Roadmap!G7</f>
      </c>
      <c r="G7" s="27">
        <f>IF(AND(G$4&gt;=$D7,G$4&lt;=$E7),1,"")</f>
      </c>
      <c r="H7" s="27">
        <f>IF(AND(H$4&gt;=$D7,H$4&lt;=$E7),1,"")</f>
      </c>
      <c r="I7" s="27">
        <f>IF(AND(I$4&gt;=$D7,I$4&lt;=$E7),1,"")</f>
      </c>
      <c r="J7" s="27">
        <f>IF(AND(J$4&gt;=$D7,J$4&lt;=$E7),1,"")</f>
      </c>
      <c r="K7" s="27">
        <f>IF(AND(K$4&gt;=$D7,K$4&lt;=$E7),1,"")</f>
      </c>
      <c r="L7" s="27">
        <f>IF(AND(L$4&gt;=$D7,L$4&lt;=$E7),1,"")</f>
      </c>
      <c r="M7" s="27">
        <f>IF(AND(M$4&gt;=$D7,M$4&lt;=$E7),1,"")</f>
      </c>
      <c r="N7" s="27">
        <f>IF(AND(N$4&gt;=$D7,N$4&lt;=$E7),1,"")</f>
      </c>
      <c r="O7" s="27">
        <f>IF(AND(O$4&gt;=$D7,O$4&lt;=$E7),1,"")</f>
      </c>
      <c r="P7" s="27">
        <f>IF(AND(P$4&gt;=$D7,P$4&lt;=$E7),1,"")</f>
      </c>
      <c r="Q7" s="27">
        <f>IF(AND(Q$4&gt;=$D7,Q$4&lt;=$E7),1,"")</f>
      </c>
      <c r="R7" s="27">
        <f>IF(AND(R$4&gt;=$D7,R$4&lt;=$E7),1,"")</f>
      </c>
      <c r="S7" s="27">
        <f>IF(AND(S$4&gt;=$D7,S$4&lt;=$E7),1,"")</f>
      </c>
      <c r="T7" s="27">
        <f>IF(AND(T$4&gt;=$D7,T$4&lt;=$E7),1,"")</f>
      </c>
      <c r="U7" s="27">
        <f>IF(AND(U$4&gt;=$D7,U$4&lt;=$E7),1,"")</f>
      </c>
      <c r="V7" s="27">
        <f>IF(AND(V$4&gt;=$D7,V$4&lt;=$E7),1,"")</f>
      </c>
      <c r="W7" s="27">
        <f>IF(AND(W$4&gt;=$D7,W$4&lt;=$E7),1,"")</f>
      </c>
      <c r="X7" s="27">
        <f>IF(AND(X$4&gt;=$D7,X$4&lt;=$E7),1,"")</f>
      </c>
      <c r="Y7" s="27">
        <f>IF(AND(Y$4&gt;=$D7,Y$4&lt;=$E7),1,"")</f>
      </c>
      <c r="Z7" s="27">
        <f>IF(AND(Z$4&gt;=$D7,Z$4&lt;=$E7),1,"")</f>
      </c>
      <c r="AA7" s="27">
        <f>IF(AND(AA$4&gt;=$D7,AA$4&lt;=$E7),1,"")</f>
      </c>
      <c r="AB7" s="27">
        <f>IF(AND(AB$4&gt;=$D7,AB$4&lt;=$E7),1,"")</f>
      </c>
      <c r="AC7" s="27">
        <f>IF(AND(AC$4&gt;=$D7,AC$4&lt;=$E7),1,"")</f>
      </c>
      <c r="AD7" s="27">
        <f>IF(AND(AD$4&gt;=$D7,AD$4&lt;=$E7),1,"")</f>
      </c>
      <c r="AE7" s="27">
        <f>IF(AND(AE$4&gt;=$D7,AE$4&lt;=$E7),1,"")</f>
      </c>
      <c r="AF7" s="27">
        <f>IF(AND(AF$4&gt;=$D7,AF$4&lt;=$E7),1,"")</f>
      </c>
      <c r="AG7" s="27">
        <f>IF(AND(AG$4&gt;=$D7,AG$4&lt;=$E7),1,"")</f>
      </c>
      <c r="AH7" s="27">
        <f>IF(AND(AH$4&gt;=$D7,AH$4&lt;=$E7),1,"")</f>
      </c>
      <c r="AI7" s="27">
        <f>IF(AND(AI$4&gt;=$D7,AI$4&lt;=$E7),1,"")</f>
      </c>
      <c r="AJ7" s="27">
        <f>IF(AND(AJ$4&gt;=$D7,AJ$4&lt;=$E7),1,"")</f>
      </c>
      <c r="AK7" s="27">
        <f>IF(AND(AK$4&gt;=$D7,AK$4&lt;=$E7),1,"")</f>
      </c>
      <c r="AL7" s="27">
        <f>IF(AND(AL$4&gt;=$D7,AL$4&lt;=$E7),1,"")</f>
      </c>
      <c r="AM7" s="27">
        <f>IF(AND(AM$4&gt;=$D7,AM$4&lt;=$E7),1,"")</f>
      </c>
      <c r="AN7" s="27">
        <f>IF(AND(AN$4&gt;=$D7,AN$4&lt;=$E7),1,"")</f>
      </c>
      <c r="AO7" s="27">
        <f>IF(AND(AO$4&gt;=$D7,AO$4&lt;=$E7),1,"")</f>
      </c>
      <c r="AP7" s="27">
        <f>IF(AND(AP$4&gt;=$D7,AP$4&lt;=$E7),1,"")</f>
      </c>
      <c r="AQ7" s="27">
        <f>IF(AND(AQ$4&gt;=$D7,AQ$4&lt;=$E7),1,"")</f>
      </c>
      <c r="AR7" s="27">
        <f>IF(AND(AR$4&gt;=$D7,AR$4&lt;=$E7),1,"")</f>
      </c>
      <c r="AS7" s="27">
        <f>IF(AND(AS$4&gt;=$D7,AS$4&lt;=$E7),1,"")</f>
      </c>
    </row>
    <row r="8">
      <c r="A8" t="inlineStr">
        <is>
          <t>NOVA-R04</t>
        </is>
      </c>
      <c r="B8" t="inlineStr">
        <is>
          <t xml:space="preserve">LOT 1</t>
        </is>
      </c>
      <c r="C8" t="inlineStr">
        <is>
          <t xml:space="preserve">Prouver POST /api/runtime/execute → Runtime réel</t>
        </is>
      </c>
      <c r="D8" s="26">
        <f>Roadmap!I8</f>
      </c>
      <c r="E8" s="26">
        <f>Roadmap!K8</f>
      </c>
      <c r="F8">
        <f>Roadmap!G8</f>
      </c>
      <c r="G8" s="27">
        <f>IF(AND(G$4&gt;=$D8,G$4&lt;=$E8),1,"")</f>
      </c>
      <c r="H8" s="27">
        <f>IF(AND(H$4&gt;=$D8,H$4&lt;=$E8),1,"")</f>
      </c>
      <c r="I8" s="27">
        <f>IF(AND(I$4&gt;=$D8,I$4&lt;=$E8),1,"")</f>
      </c>
      <c r="J8" s="27">
        <f>IF(AND(J$4&gt;=$D8,J$4&lt;=$E8),1,"")</f>
      </c>
      <c r="K8" s="27">
        <f>IF(AND(K$4&gt;=$D8,K$4&lt;=$E8),1,"")</f>
      </c>
      <c r="L8" s="27">
        <f>IF(AND(L$4&gt;=$D8,L$4&lt;=$E8),1,"")</f>
      </c>
      <c r="M8" s="27">
        <f>IF(AND(M$4&gt;=$D8,M$4&lt;=$E8),1,"")</f>
      </c>
      <c r="N8" s="27">
        <f>IF(AND(N$4&gt;=$D8,N$4&lt;=$E8),1,"")</f>
      </c>
      <c r="O8" s="27">
        <f>IF(AND(O$4&gt;=$D8,O$4&lt;=$E8),1,"")</f>
      </c>
      <c r="P8" s="27">
        <f>IF(AND(P$4&gt;=$D8,P$4&lt;=$E8),1,"")</f>
      </c>
      <c r="Q8" s="27">
        <f>IF(AND(Q$4&gt;=$D8,Q$4&lt;=$E8),1,"")</f>
      </c>
      <c r="R8" s="27">
        <f>IF(AND(R$4&gt;=$D8,R$4&lt;=$E8),1,"")</f>
      </c>
      <c r="S8" s="27">
        <f>IF(AND(S$4&gt;=$D8,S$4&lt;=$E8),1,"")</f>
      </c>
      <c r="T8" s="27">
        <f>IF(AND(T$4&gt;=$D8,T$4&lt;=$E8),1,"")</f>
      </c>
      <c r="U8" s="27">
        <f>IF(AND(U$4&gt;=$D8,U$4&lt;=$E8),1,"")</f>
      </c>
      <c r="V8" s="27">
        <f>IF(AND(V$4&gt;=$D8,V$4&lt;=$E8),1,"")</f>
      </c>
      <c r="W8" s="27">
        <f>IF(AND(W$4&gt;=$D8,W$4&lt;=$E8),1,"")</f>
      </c>
      <c r="X8" s="27">
        <f>IF(AND(X$4&gt;=$D8,X$4&lt;=$E8),1,"")</f>
      </c>
      <c r="Y8" s="27">
        <f>IF(AND(Y$4&gt;=$D8,Y$4&lt;=$E8),1,"")</f>
      </c>
      <c r="Z8" s="27">
        <f>IF(AND(Z$4&gt;=$D8,Z$4&lt;=$E8),1,"")</f>
      </c>
      <c r="AA8" s="27">
        <f>IF(AND(AA$4&gt;=$D8,AA$4&lt;=$E8),1,"")</f>
      </c>
      <c r="AB8" s="27">
        <f>IF(AND(AB$4&gt;=$D8,AB$4&lt;=$E8),1,"")</f>
      </c>
      <c r="AC8" s="27">
        <f>IF(AND(AC$4&gt;=$D8,AC$4&lt;=$E8),1,"")</f>
      </c>
      <c r="AD8" s="27">
        <f>IF(AND(AD$4&gt;=$D8,AD$4&lt;=$E8),1,"")</f>
      </c>
      <c r="AE8" s="27">
        <f>IF(AND(AE$4&gt;=$D8,AE$4&lt;=$E8),1,"")</f>
      </c>
      <c r="AF8" s="27">
        <f>IF(AND(AF$4&gt;=$D8,AF$4&lt;=$E8),1,"")</f>
      </c>
      <c r="AG8" s="27">
        <f>IF(AND(AG$4&gt;=$D8,AG$4&lt;=$E8),1,"")</f>
      </c>
      <c r="AH8" s="27">
        <f>IF(AND(AH$4&gt;=$D8,AH$4&lt;=$E8),1,"")</f>
      </c>
      <c r="AI8" s="27">
        <f>IF(AND(AI$4&gt;=$D8,AI$4&lt;=$E8),1,"")</f>
      </c>
      <c r="AJ8" s="27">
        <f>IF(AND(AJ$4&gt;=$D8,AJ$4&lt;=$E8),1,"")</f>
      </c>
      <c r="AK8" s="27">
        <f>IF(AND(AK$4&gt;=$D8,AK$4&lt;=$E8),1,"")</f>
      </c>
      <c r="AL8" s="27">
        <f>IF(AND(AL$4&gt;=$D8,AL$4&lt;=$E8),1,"")</f>
      </c>
      <c r="AM8" s="27">
        <f>IF(AND(AM$4&gt;=$D8,AM$4&lt;=$E8),1,"")</f>
      </c>
      <c r="AN8" s="27">
        <f>IF(AND(AN$4&gt;=$D8,AN$4&lt;=$E8),1,"")</f>
      </c>
      <c r="AO8" s="27">
        <f>IF(AND(AO$4&gt;=$D8,AO$4&lt;=$E8),1,"")</f>
      </c>
      <c r="AP8" s="27">
        <f>IF(AND(AP$4&gt;=$D8,AP$4&lt;=$E8),1,"")</f>
      </c>
      <c r="AQ8" s="27">
        <f>IF(AND(AQ$4&gt;=$D8,AQ$4&lt;=$E8),1,"")</f>
      </c>
      <c r="AR8" s="27">
        <f>IF(AND(AR$4&gt;=$D8,AR$4&lt;=$E8),1,"")</f>
      </c>
      <c r="AS8" s="27">
        <f>IF(AND(AS$4&gt;=$D8,AS$4&lt;=$E8),1,"")</f>
      </c>
    </row>
    <row r="9">
      <c r="A9" t="inlineStr">
        <is>
          <t>NOVA-R05</t>
        </is>
      </c>
      <c r="B9" t="inlineStr">
        <is>
          <t xml:space="preserve">LOT 2</t>
        </is>
      </c>
      <c r="C9" t="inlineStr">
        <is>
          <t xml:space="preserve">Brancher Confirm → exécution Mission/Runtime existante</t>
        </is>
      </c>
      <c r="D9" s="26">
        <f>Roadmap!I9</f>
      </c>
      <c r="E9" s="26">
        <f>Roadmap!K9</f>
      </c>
      <c r="F9">
        <f>Roadmap!G9</f>
      </c>
      <c r="G9" s="27">
        <f>IF(AND(G$4&gt;=$D9,G$4&lt;=$E9),1,"")</f>
      </c>
      <c r="H9" s="27">
        <f>IF(AND(H$4&gt;=$D9,H$4&lt;=$E9),1,"")</f>
      </c>
      <c r="I9" s="27">
        <f>IF(AND(I$4&gt;=$D9,I$4&lt;=$E9),1,"")</f>
      </c>
      <c r="J9" s="27">
        <f>IF(AND(J$4&gt;=$D9,J$4&lt;=$E9),1,"")</f>
      </c>
      <c r="K9" s="27">
        <f>IF(AND(K$4&gt;=$D9,K$4&lt;=$E9),1,"")</f>
      </c>
      <c r="L9" s="27">
        <f>IF(AND(L$4&gt;=$D9,L$4&lt;=$E9),1,"")</f>
      </c>
      <c r="M9" s="27">
        <f>IF(AND(M$4&gt;=$D9,M$4&lt;=$E9),1,"")</f>
      </c>
      <c r="N9" s="27">
        <f>IF(AND(N$4&gt;=$D9,N$4&lt;=$E9),1,"")</f>
      </c>
      <c r="O9" s="27">
        <f>IF(AND(O$4&gt;=$D9,O$4&lt;=$E9),1,"")</f>
      </c>
      <c r="P9" s="27">
        <f>IF(AND(P$4&gt;=$D9,P$4&lt;=$E9),1,"")</f>
      </c>
      <c r="Q9" s="27">
        <f>IF(AND(Q$4&gt;=$D9,Q$4&lt;=$E9),1,"")</f>
      </c>
      <c r="R9" s="27">
        <f>IF(AND(R$4&gt;=$D9,R$4&lt;=$E9),1,"")</f>
      </c>
      <c r="S9" s="27">
        <f>IF(AND(S$4&gt;=$D9,S$4&lt;=$E9),1,"")</f>
      </c>
      <c r="T9" s="27">
        <f>IF(AND(T$4&gt;=$D9,T$4&lt;=$E9),1,"")</f>
      </c>
      <c r="U9" s="27">
        <f>IF(AND(U$4&gt;=$D9,U$4&lt;=$E9),1,"")</f>
      </c>
      <c r="V9" s="27">
        <f>IF(AND(V$4&gt;=$D9,V$4&lt;=$E9),1,"")</f>
      </c>
      <c r="W9" s="27">
        <f>IF(AND(W$4&gt;=$D9,W$4&lt;=$E9),1,"")</f>
      </c>
      <c r="X9" s="27">
        <f>IF(AND(X$4&gt;=$D9,X$4&lt;=$E9),1,"")</f>
      </c>
      <c r="Y9" s="27">
        <f>IF(AND(Y$4&gt;=$D9,Y$4&lt;=$E9),1,"")</f>
      </c>
      <c r="Z9" s="27">
        <f>IF(AND(Z$4&gt;=$D9,Z$4&lt;=$E9),1,"")</f>
      </c>
      <c r="AA9" s="27">
        <f>IF(AND(AA$4&gt;=$D9,AA$4&lt;=$E9),1,"")</f>
      </c>
      <c r="AB9" s="27">
        <f>IF(AND(AB$4&gt;=$D9,AB$4&lt;=$E9),1,"")</f>
      </c>
      <c r="AC9" s="27">
        <f>IF(AND(AC$4&gt;=$D9,AC$4&lt;=$E9),1,"")</f>
      </c>
      <c r="AD9" s="27">
        <f>IF(AND(AD$4&gt;=$D9,AD$4&lt;=$E9),1,"")</f>
      </c>
      <c r="AE9" s="27">
        <f>IF(AND(AE$4&gt;=$D9,AE$4&lt;=$E9),1,"")</f>
      </c>
      <c r="AF9" s="27">
        <f>IF(AND(AF$4&gt;=$D9,AF$4&lt;=$E9),1,"")</f>
      </c>
      <c r="AG9" s="27">
        <f>IF(AND(AG$4&gt;=$D9,AG$4&lt;=$E9),1,"")</f>
      </c>
      <c r="AH9" s="27">
        <f>IF(AND(AH$4&gt;=$D9,AH$4&lt;=$E9),1,"")</f>
      </c>
      <c r="AI9" s="27">
        <f>IF(AND(AI$4&gt;=$D9,AI$4&lt;=$E9),1,"")</f>
      </c>
      <c r="AJ9" s="27">
        <f>IF(AND(AJ$4&gt;=$D9,AJ$4&lt;=$E9),1,"")</f>
      </c>
      <c r="AK9" s="27">
        <f>IF(AND(AK$4&gt;=$D9,AK$4&lt;=$E9),1,"")</f>
      </c>
      <c r="AL9" s="27">
        <f>IF(AND(AL$4&gt;=$D9,AL$4&lt;=$E9),1,"")</f>
      </c>
      <c r="AM9" s="27">
        <f>IF(AND(AM$4&gt;=$D9,AM$4&lt;=$E9),1,"")</f>
      </c>
      <c r="AN9" s="27">
        <f>IF(AND(AN$4&gt;=$D9,AN$4&lt;=$E9),1,"")</f>
      </c>
      <c r="AO9" s="27">
        <f>IF(AND(AO$4&gt;=$D9,AO$4&lt;=$E9),1,"")</f>
      </c>
      <c r="AP9" s="27">
        <f>IF(AND(AP$4&gt;=$D9,AP$4&lt;=$E9),1,"")</f>
      </c>
      <c r="AQ9" s="27">
        <f>IF(AND(AQ$4&gt;=$D9,AQ$4&lt;=$E9),1,"")</f>
      </c>
      <c r="AR9" s="27">
        <f>IF(AND(AR$4&gt;=$D9,AR$4&lt;=$E9),1,"")</f>
      </c>
      <c r="AS9" s="27">
        <f>IF(AND(AS$4&gt;=$D9,AS$4&lt;=$E9),1,"")</f>
      </c>
    </row>
    <row r="10">
      <c r="A10" t="inlineStr">
        <is>
          <t>NOVA-R06</t>
        </is>
      </c>
      <c r="B10" t="inlineStr">
        <is>
          <t xml:space="preserve">LOT 2</t>
        </is>
      </c>
      <c r="C10" t="inlineStr">
        <is>
          <t xml:space="preserve">Prouver le parcours objectif → Confirm → Mission → Work</t>
        </is>
      </c>
      <c r="D10" s="26">
        <f>Roadmap!I10</f>
      </c>
      <c r="E10" s="26">
        <f>Roadmap!K10</f>
      </c>
      <c r="F10">
        <f>Roadmap!G10</f>
      </c>
      <c r="G10" s="27">
        <f>IF(AND(G$4&gt;=$D10,G$4&lt;=$E10),1,"")</f>
      </c>
      <c r="H10" s="27">
        <f>IF(AND(H$4&gt;=$D10,H$4&lt;=$E10),1,"")</f>
      </c>
      <c r="I10" s="27">
        <f>IF(AND(I$4&gt;=$D10,I$4&lt;=$E10),1,"")</f>
      </c>
      <c r="J10" s="27">
        <f>IF(AND(J$4&gt;=$D10,J$4&lt;=$E10),1,"")</f>
      </c>
      <c r="K10" s="27">
        <f>IF(AND(K$4&gt;=$D10,K$4&lt;=$E10),1,"")</f>
      </c>
      <c r="L10" s="27">
        <f>IF(AND(L$4&gt;=$D10,L$4&lt;=$E10),1,"")</f>
      </c>
      <c r="M10" s="27">
        <f>IF(AND(M$4&gt;=$D10,M$4&lt;=$E10),1,"")</f>
      </c>
      <c r="N10" s="27">
        <f>IF(AND(N$4&gt;=$D10,N$4&lt;=$E10),1,"")</f>
      </c>
      <c r="O10" s="27">
        <f>IF(AND(O$4&gt;=$D10,O$4&lt;=$E10),1,"")</f>
      </c>
      <c r="P10" s="27">
        <f>IF(AND(P$4&gt;=$D10,P$4&lt;=$E10),1,"")</f>
      </c>
      <c r="Q10" s="27">
        <f>IF(AND(Q$4&gt;=$D10,Q$4&lt;=$E10),1,"")</f>
      </c>
      <c r="R10" s="27">
        <f>IF(AND(R$4&gt;=$D10,R$4&lt;=$E10),1,"")</f>
      </c>
      <c r="S10" s="27">
        <f>IF(AND(S$4&gt;=$D10,S$4&lt;=$E10),1,"")</f>
      </c>
      <c r="T10" s="27">
        <f>IF(AND(T$4&gt;=$D10,T$4&lt;=$E10),1,"")</f>
      </c>
      <c r="U10" s="27">
        <f>IF(AND(U$4&gt;=$D10,U$4&lt;=$E10),1,"")</f>
      </c>
      <c r="V10" s="27">
        <f>IF(AND(V$4&gt;=$D10,V$4&lt;=$E10),1,"")</f>
      </c>
      <c r="W10" s="27">
        <f>IF(AND(W$4&gt;=$D10,W$4&lt;=$E10),1,"")</f>
      </c>
      <c r="X10" s="27">
        <f>IF(AND(X$4&gt;=$D10,X$4&lt;=$E10),1,"")</f>
      </c>
      <c r="Y10" s="27">
        <f>IF(AND(Y$4&gt;=$D10,Y$4&lt;=$E10),1,"")</f>
      </c>
      <c r="Z10" s="27">
        <f>IF(AND(Z$4&gt;=$D10,Z$4&lt;=$E10),1,"")</f>
      </c>
      <c r="AA10" s="27">
        <f>IF(AND(AA$4&gt;=$D10,AA$4&lt;=$E10),1,"")</f>
      </c>
      <c r="AB10" s="27">
        <f>IF(AND(AB$4&gt;=$D10,AB$4&lt;=$E10),1,"")</f>
      </c>
      <c r="AC10" s="27">
        <f>IF(AND(AC$4&gt;=$D10,AC$4&lt;=$E10),1,"")</f>
      </c>
      <c r="AD10" s="27">
        <f>IF(AND(AD$4&gt;=$D10,AD$4&lt;=$E10),1,"")</f>
      </c>
      <c r="AE10" s="27">
        <f>IF(AND(AE$4&gt;=$D10,AE$4&lt;=$E10),1,"")</f>
      </c>
      <c r="AF10" s="27">
        <f>IF(AND(AF$4&gt;=$D10,AF$4&lt;=$E10),1,"")</f>
      </c>
      <c r="AG10" s="27">
        <f>IF(AND(AG$4&gt;=$D10,AG$4&lt;=$E10),1,"")</f>
      </c>
      <c r="AH10" s="27">
        <f>IF(AND(AH$4&gt;=$D10,AH$4&lt;=$E10),1,"")</f>
      </c>
      <c r="AI10" s="27">
        <f>IF(AND(AI$4&gt;=$D10,AI$4&lt;=$E10),1,"")</f>
      </c>
      <c r="AJ10" s="27">
        <f>IF(AND(AJ$4&gt;=$D10,AJ$4&lt;=$E10),1,"")</f>
      </c>
      <c r="AK10" s="27">
        <f>IF(AND(AK$4&gt;=$D10,AK$4&lt;=$E10),1,"")</f>
      </c>
      <c r="AL10" s="27">
        <f>IF(AND(AL$4&gt;=$D10,AL$4&lt;=$E10),1,"")</f>
      </c>
      <c r="AM10" s="27">
        <f>IF(AND(AM$4&gt;=$D10,AM$4&lt;=$E10),1,"")</f>
      </c>
      <c r="AN10" s="27">
        <f>IF(AND(AN$4&gt;=$D10,AN$4&lt;=$E10),1,"")</f>
      </c>
      <c r="AO10" s="27">
        <f>IF(AND(AO$4&gt;=$D10,AO$4&lt;=$E10),1,"")</f>
      </c>
      <c r="AP10" s="27">
        <f>IF(AND(AP$4&gt;=$D10,AP$4&lt;=$E10),1,"")</f>
      </c>
      <c r="AQ10" s="27">
        <f>IF(AND(AQ$4&gt;=$D10,AQ$4&lt;=$E10),1,"")</f>
      </c>
      <c r="AR10" s="27">
        <f>IF(AND(AR$4&gt;=$D10,AR$4&lt;=$E10),1,"")</f>
      </c>
      <c r="AS10" s="27">
        <f>IF(AND(AS$4&gt;=$D10,AS$4&lt;=$E10),1,"")</f>
      </c>
    </row>
    <row r="11">
      <c r="A11" t="inlineStr">
        <is>
          <t>NOVA-R07</t>
        </is>
      </c>
      <c r="B11" t="inlineStr">
        <is>
          <t xml:space="preserve">LOT 3</t>
        </is>
      </c>
      <c r="C11" t="inlineStr">
        <is>
          <t xml:space="preserve">Brancher Work Plan aux données Planning réelles</t>
        </is>
      </c>
      <c r="D11" s="26">
        <f>Roadmap!I11</f>
      </c>
      <c r="E11" s="26">
        <f>Roadmap!K11</f>
      </c>
      <c r="F11">
        <f>Roadmap!G11</f>
      </c>
      <c r="G11" s="27">
        <f>IF(AND(G$4&gt;=$D11,G$4&lt;=$E11),1,"")</f>
      </c>
      <c r="H11" s="27">
        <f>IF(AND(H$4&gt;=$D11,H$4&lt;=$E11),1,"")</f>
      </c>
      <c r="I11" s="27">
        <f>IF(AND(I$4&gt;=$D11,I$4&lt;=$E11),1,"")</f>
      </c>
      <c r="J11" s="27">
        <f>IF(AND(J$4&gt;=$D11,J$4&lt;=$E11),1,"")</f>
      </c>
      <c r="K11" s="27">
        <f>IF(AND(K$4&gt;=$D11,K$4&lt;=$E11),1,"")</f>
      </c>
      <c r="L11" s="27">
        <f>IF(AND(L$4&gt;=$D11,L$4&lt;=$E11),1,"")</f>
      </c>
      <c r="M11" s="27">
        <f>IF(AND(M$4&gt;=$D11,M$4&lt;=$E11),1,"")</f>
      </c>
      <c r="N11" s="27">
        <f>IF(AND(N$4&gt;=$D11,N$4&lt;=$E11),1,"")</f>
      </c>
      <c r="O11" s="27">
        <f>IF(AND(O$4&gt;=$D11,O$4&lt;=$E11),1,"")</f>
      </c>
      <c r="P11" s="27">
        <f>IF(AND(P$4&gt;=$D11,P$4&lt;=$E11),1,"")</f>
      </c>
      <c r="Q11" s="27">
        <f>IF(AND(Q$4&gt;=$D11,Q$4&lt;=$E11),1,"")</f>
      </c>
      <c r="R11" s="27">
        <f>IF(AND(R$4&gt;=$D11,R$4&lt;=$E11),1,"")</f>
      </c>
      <c r="S11" s="27">
        <f>IF(AND(S$4&gt;=$D11,S$4&lt;=$E11),1,"")</f>
      </c>
      <c r="T11" s="27">
        <f>IF(AND(T$4&gt;=$D11,T$4&lt;=$E11),1,"")</f>
      </c>
      <c r="U11" s="27">
        <f>IF(AND(U$4&gt;=$D11,U$4&lt;=$E11),1,"")</f>
      </c>
      <c r="V11" s="27">
        <f>IF(AND(V$4&gt;=$D11,V$4&lt;=$E11),1,"")</f>
      </c>
      <c r="W11" s="27">
        <f>IF(AND(W$4&gt;=$D11,W$4&lt;=$E11),1,"")</f>
      </c>
      <c r="X11" s="27">
        <f>IF(AND(X$4&gt;=$D11,X$4&lt;=$E11),1,"")</f>
      </c>
      <c r="Y11" s="27">
        <f>IF(AND(Y$4&gt;=$D11,Y$4&lt;=$E11),1,"")</f>
      </c>
      <c r="Z11" s="27">
        <f>IF(AND(Z$4&gt;=$D11,Z$4&lt;=$E11),1,"")</f>
      </c>
      <c r="AA11" s="27">
        <f>IF(AND(AA$4&gt;=$D11,AA$4&lt;=$E11),1,"")</f>
      </c>
      <c r="AB11" s="27">
        <f>IF(AND(AB$4&gt;=$D11,AB$4&lt;=$E11),1,"")</f>
      </c>
      <c r="AC11" s="27">
        <f>IF(AND(AC$4&gt;=$D11,AC$4&lt;=$E11),1,"")</f>
      </c>
      <c r="AD11" s="27">
        <f>IF(AND(AD$4&gt;=$D11,AD$4&lt;=$E11),1,"")</f>
      </c>
      <c r="AE11" s="27">
        <f>IF(AND(AE$4&gt;=$D11,AE$4&lt;=$E11),1,"")</f>
      </c>
      <c r="AF11" s="27">
        <f>IF(AND(AF$4&gt;=$D11,AF$4&lt;=$E11),1,"")</f>
      </c>
      <c r="AG11" s="27">
        <f>IF(AND(AG$4&gt;=$D11,AG$4&lt;=$E11),1,"")</f>
      </c>
      <c r="AH11" s="27">
        <f>IF(AND(AH$4&gt;=$D11,AH$4&lt;=$E11),1,"")</f>
      </c>
      <c r="AI11" s="27">
        <f>IF(AND(AI$4&gt;=$D11,AI$4&lt;=$E11),1,"")</f>
      </c>
      <c r="AJ11" s="27">
        <f>IF(AND(AJ$4&gt;=$D11,AJ$4&lt;=$E11),1,"")</f>
      </c>
      <c r="AK11" s="27">
        <f>IF(AND(AK$4&gt;=$D11,AK$4&lt;=$E11),1,"")</f>
      </c>
      <c r="AL11" s="27">
        <f>IF(AND(AL$4&gt;=$D11,AL$4&lt;=$E11),1,"")</f>
      </c>
      <c r="AM11" s="27">
        <f>IF(AND(AM$4&gt;=$D11,AM$4&lt;=$E11),1,"")</f>
      </c>
      <c r="AN11" s="27">
        <f>IF(AND(AN$4&gt;=$D11,AN$4&lt;=$E11),1,"")</f>
      </c>
      <c r="AO11" s="27">
        <f>IF(AND(AO$4&gt;=$D11,AO$4&lt;=$E11),1,"")</f>
      </c>
      <c r="AP11" s="27">
        <f>IF(AND(AP$4&gt;=$D11,AP$4&lt;=$E11),1,"")</f>
      </c>
      <c r="AQ11" s="27">
        <f>IF(AND(AQ$4&gt;=$D11,AQ$4&lt;=$E11),1,"")</f>
      </c>
      <c r="AR11" s="27">
        <f>IF(AND(AR$4&gt;=$D11,AR$4&lt;=$E11),1,"")</f>
      </c>
      <c r="AS11" s="27">
        <f>IF(AND(AS$4&gt;=$D11,AS$4&lt;=$E11),1,"")</f>
      </c>
    </row>
    <row r="12">
      <c r="A12" t="inlineStr">
        <is>
          <t>NOVA-R08</t>
        </is>
      </c>
      <c r="B12" t="inlineStr">
        <is>
          <t xml:space="preserve">LOT 3</t>
        </is>
      </c>
      <c r="C12" t="inlineStr">
        <is>
          <t xml:space="preserve">Brancher Work People aux données People réelles</t>
        </is>
      </c>
      <c r="D12" s="26">
        <f>Roadmap!I12</f>
      </c>
      <c r="E12" s="26">
        <f>Roadmap!K12</f>
      </c>
      <c r="F12">
        <f>Roadmap!G12</f>
      </c>
      <c r="G12" s="27">
        <f>IF(AND(G$4&gt;=$D12,G$4&lt;=$E12),1,"")</f>
      </c>
      <c r="H12" s="27">
        <f>IF(AND(H$4&gt;=$D12,H$4&lt;=$E12),1,"")</f>
      </c>
      <c r="I12" s="27">
        <f>IF(AND(I$4&gt;=$D12,I$4&lt;=$E12),1,"")</f>
      </c>
      <c r="J12" s="27">
        <f>IF(AND(J$4&gt;=$D12,J$4&lt;=$E12),1,"")</f>
      </c>
      <c r="K12" s="27">
        <f>IF(AND(K$4&gt;=$D12,K$4&lt;=$E12),1,"")</f>
      </c>
      <c r="L12" s="27">
        <f>IF(AND(L$4&gt;=$D12,L$4&lt;=$E12),1,"")</f>
      </c>
      <c r="M12" s="27">
        <f>IF(AND(M$4&gt;=$D12,M$4&lt;=$E12),1,"")</f>
      </c>
      <c r="N12" s="27">
        <f>IF(AND(N$4&gt;=$D12,N$4&lt;=$E12),1,"")</f>
      </c>
      <c r="O12" s="27">
        <f>IF(AND(O$4&gt;=$D12,O$4&lt;=$E12),1,"")</f>
      </c>
      <c r="P12" s="27">
        <f>IF(AND(P$4&gt;=$D12,P$4&lt;=$E12),1,"")</f>
      </c>
      <c r="Q12" s="27">
        <f>IF(AND(Q$4&gt;=$D12,Q$4&lt;=$E12),1,"")</f>
      </c>
      <c r="R12" s="27">
        <f>IF(AND(R$4&gt;=$D12,R$4&lt;=$E12),1,"")</f>
      </c>
      <c r="S12" s="27">
        <f>IF(AND(S$4&gt;=$D12,S$4&lt;=$E12),1,"")</f>
      </c>
      <c r="T12" s="27">
        <f>IF(AND(T$4&gt;=$D12,T$4&lt;=$E12),1,"")</f>
      </c>
      <c r="U12" s="27">
        <f>IF(AND(U$4&gt;=$D12,U$4&lt;=$E12),1,"")</f>
      </c>
      <c r="V12" s="27">
        <f>IF(AND(V$4&gt;=$D12,V$4&lt;=$E12),1,"")</f>
      </c>
      <c r="W12" s="27">
        <f>IF(AND(W$4&gt;=$D12,W$4&lt;=$E12),1,"")</f>
      </c>
      <c r="X12" s="27">
        <f>IF(AND(X$4&gt;=$D12,X$4&lt;=$E12),1,"")</f>
      </c>
      <c r="Y12" s="27">
        <f>IF(AND(Y$4&gt;=$D12,Y$4&lt;=$E12),1,"")</f>
      </c>
      <c r="Z12" s="27">
        <f>IF(AND(Z$4&gt;=$D12,Z$4&lt;=$E12),1,"")</f>
      </c>
      <c r="AA12" s="27">
        <f>IF(AND(AA$4&gt;=$D12,AA$4&lt;=$E12),1,"")</f>
      </c>
      <c r="AB12" s="27">
        <f>IF(AND(AB$4&gt;=$D12,AB$4&lt;=$E12),1,"")</f>
      </c>
      <c r="AC12" s="27">
        <f>IF(AND(AC$4&gt;=$D12,AC$4&lt;=$E12),1,"")</f>
      </c>
      <c r="AD12" s="27">
        <f>IF(AND(AD$4&gt;=$D12,AD$4&lt;=$E12),1,"")</f>
      </c>
      <c r="AE12" s="27">
        <f>IF(AND(AE$4&gt;=$D12,AE$4&lt;=$E12),1,"")</f>
      </c>
      <c r="AF12" s="27">
        <f>IF(AND(AF$4&gt;=$D12,AF$4&lt;=$E12),1,"")</f>
      </c>
      <c r="AG12" s="27">
        <f>IF(AND(AG$4&gt;=$D12,AG$4&lt;=$E12),1,"")</f>
      </c>
      <c r="AH12" s="27">
        <f>IF(AND(AH$4&gt;=$D12,AH$4&lt;=$E12),1,"")</f>
      </c>
      <c r="AI12" s="27">
        <f>IF(AND(AI$4&gt;=$D12,AI$4&lt;=$E12),1,"")</f>
      </c>
      <c r="AJ12" s="27">
        <f>IF(AND(AJ$4&gt;=$D12,AJ$4&lt;=$E12),1,"")</f>
      </c>
      <c r="AK12" s="27">
        <f>IF(AND(AK$4&gt;=$D12,AK$4&lt;=$E12),1,"")</f>
      </c>
      <c r="AL12" s="27">
        <f>IF(AND(AL$4&gt;=$D12,AL$4&lt;=$E12),1,"")</f>
      </c>
      <c r="AM12" s="27">
        <f>IF(AND(AM$4&gt;=$D12,AM$4&lt;=$E12),1,"")</f>
      </c>
      <c r="AN12" s="27">
        <f>IF(AND(AN$4&gt;=$D12,AN$4&lt;=$E12),1,"")</f>
      </c>
      <c r="AO12" s="27">
        <f>IF(AND(AO$4&gt;=$D12,AO$4&lt;=$E12),1,"")</f>
      </c>
      <c r="AP12" s="27">
        <f>IF(AND(AP$4&gt;=$D12,AP$4&lt;=$E12),1,"")</f>
      </c>
      <c r="AQ12" s="27">
        <f>IF(AND(AQ$4&gt;=$D12,AQ$4&lt;=$E12),1,"")</f>
      </c>
      <c r="AR12" s="27">
        <f>IF(AND(AR$4&gt;=$D12,AR$4&lt;=$E12),1,"")</f>
      </c>
      <c r="AS12" s="27">
        <f>IF(AND(AS$4&gt;=$D12,AS$4&lt;=$E12),1,"")</f>
      </c>
    </row>
    <row r="13">
      <c r="A13" t="inlineStr">
        <is>
          <t>NOVA-R09</t>
        </is>
      </c>
      <c r="B13" t="inlineStr">
        <is>
          <t xml:space="preserve">LOT 3</t>
        </is>
      </c>
      <c r="C13" t="inlineStr">
        <is>
          <t xml:space="preserve">Brancher Work Decisions aux données Decisions réelles</t>
        </is>
      </c>
      <c r="D13" s="26">
        <f>Roadmap!I13</f>
      </c>
      <c r="E13" s="26">
        <f>Roadmap!K13</f>
      </c>
      <c r="F13">
        <f>Roadmap!G13</f>
      </c>
      <c r="G13" s="27">
        <f>IF(AND(G$4&gt;=$D13,G$4&lt;=$E13),1,"")</f>
      </c>
      <c r="H13" s="27">
        <f>IF(AND(H$4&gt;=$D13,H$4&lt;=$E13),1,"")</f>
      </c>
      <c r="I13" s="27">
        <f>IF(AND(I$4&gt;=$D13,I$4&lt;=$E13),1,"")</f>
      </c>
      <c r="J13" s="27">
        <f>IF(AND(J$4&gt;=$D13,J$4&lt;=$E13),1,"")</f>
      </c>
      <c r="K13" s="27">
        <f>IF(AND(K$4&gt;=$D13,K$4&lt;=$E13),1,"")</f>
      </c>
      <c r="L13" s="27">
        <f>IF(AND(L$4&gt;=$D13,L$4&lt;=$E13),1,"")</f>
      </c>
      <c r="M13" s="27">
        <f>IF(AND(M$4&gt;=$D13,M$4&lt;=$E13),1,"")</f>
      </c>
      <c r="N13" s="27">
        <f>IF(AND(N$4&gt;=$D13,N$4&lt;=$E13),1,"")</f>
      </c>
      <c r="O13" s="27">
        <f>IF(AND(O$4&gt;=$D13,O$4&lt;=$E13),1,"")</f>
      </c>
      <c r="P13" s="27">
        <f>IF(AND(P$4&gt;=$D13,P$4&lt;=$E13),1,"")</f>
      </c>
      <c r="Q13" s="27">
        <f>IF(AND(Q$4&gt;=$D13,Q$4&lt;=$E13),1,"")</f>
      </c>
      <c r="R13" s="27">
        <f>IF(AND(R$4&gt;=$D13,R$4&lt;=$E13),1,"")</f>
      </c>
      <c r="S13" s="27">
        <f>IF(AND(S$4&gt;=$D13,S$4&lt;=$E13),1,"")</f>
      </c>
      <c r="T13" s="27">
        <f>IF(AND(T$4&gt;=$D13,T$4&lt;=$E13),1,"")</f>
      </c>
      <c r="U13" s="27">
        <f>IF(AND(U$4&gt;=$D13,U$4&lt;=$E13),1,"")</f>
      </c>
      <c r="V13" s="27">
        <f>IF(AND(V$4&gt;=$D13,V$4&lt;=$E13),1,"")</f>
      </c>
      <c r="W13" s="27">
        <f>IF(AND(W$4&gt;=$D13,W$4&lt;=$E13),1,"")</f>
      </c>
      <c r="X13" s="27">
        <f>IF(AND(X$4&gt;=$D13,X$4&lt;=$E13),1,"")</f>
      </c>
      <c r="Y13" s="27">
        <f>IF(AND(Y$4&gt;=$D13,Y$4&lt;=$E13),1,"")</f>
      </c>
      <c r="Z13" s="27">
        <f>IF(AND(Z$4&gt;=$D13,Z$4&lt;=$E13),1,"")</f>
      </c>
      <c r="AA13" s="27">
        <f>IF(AND(AA$4&gt;=$D13,AA$4&lt;=$E13),1,"")</f>
      </c>
      <c r="AB13" s="27">
        <f>IF(AND(AB$4&gt;=$D13,AB$4&lt;=$E13),1,"")</f>
      </c>
      <c r="AC13" s="27">
        <f>IF(AND(AC$4&gt;=$D13,AC$4&lt;=$E13),1,"")</f>
      </c>
      <c r="AD13" s="27">
        <f>IF(AND(AD$4&gt;=$D13,AD$4&lt;=$E13),1,"")</f>
      </c>
      <c r="AE13" s="27">
        <f>IF(AND(AE$4&gt;=$D13,AE$4&lt;=$E13),1,"")</f>
      </c>
      <c r="AF13" s="27">
        <f>IF(AND(AF$4&gt;=$D13,AF$4&lt;=$E13),1,"")</f>
      </c>
      <c r="AG13" s="27">
        <f>IF(AND(AG$4&gt;=$D13,AG$4&lt;=$E13),1,"")</f>
      </c>
      <c r="AH13" s="27">
        <f>IF(AND(AH$4&gt;=$D13,AH$4&lt;=$E13),1,"")</f>
      </c>
      <c r="AI13" s="27">
        <f>IF(AND(AI$4&gt;=$D13,AI$4&lt;=$E13),1,"")</f>
      </c>
      <c r="AJ13" s="27">
        <f>IF(AND(AJ$4&gt;=$D13,AJ$4&lt;=$E13),1,"")</f>
      </c>
      <c r="AK13" s="27">
        <f>IF(AND(AK$4&gt;=$D13,AK$4&lt;=$E13),1,"")</f>
      </c>
      <c r="AL13" s="27">
        <f>IF(AND(AL$4&gt;=$D13,AL$4&lt;=$E13),1,"")</f>
      </c>
      <c r="AM13" s="27">
        <f>IF(AND(AM$4&gt;=$D13,AM$4&lt;=$E13),1,"")</f>
      </c>
      <c r="AN13" s="27">
        <f>IF(AND(AN$4&gt;=$D13,AN$4&lt;=$E13),1,"")</f>
      </c>
      <c r="AO13" s="27">
        <f>IF(AND(AO$4&gt;=$D13,AO$4&lt;=$E13),1,"")</f>
      </c>
      <c r="AP13" s="27">
        <f>IF(AND(AP$4&gt;=$D13,AP$4&lt;=$E13),1,"")</f>
      </c>
      <c r="AQ13" s="27">
        <f>IF(AND(AQ$4&gt;=$D13,AQ$4&lt;=$E13),1,"")</f>
      </c>
      <c r="AR13" s="27">
        <f>IF(AND(AR$4&gt;=$D13,AR$4&lt;=$E13),1,"")</f>
      </c>
      <c r="AS13" s="27">
        <f>IF(AND(AS$4&gt;=$D13,AS$4&lt;=$E13),1,"")</f>
      </c>
    </row>
    <row r="14">
      <c r="A14" t="inlineStr">
        <is>
          <t>NOVA-R10</t>
        </is>
      </c>
      <c r="B14" t="inlineStr">
        <is>
          <t xml:space="preserve">LOT 3</t>
        </is>
      </c>
      <c r="C14" t="inlineStr">
        <is>
          <t xml:space="preserve">Brancher Work Deliverables détaillés aux données réelles</t>
        </is>
      </c>
      <c r="D14" s="26">
        <f>Roadmap!I14</f>
      </c>
      <c r="E14" s="26">
        <f>Roadmap!K14</f>
      </c>
      <c r="F14">
        <f>Roadmap!G14</f>
      </c>
      <c r="G14" s="27">
        <f>IF(AND(G$4&gt;=$D14,G$4&lt;=$E14),1,"")</f>
      </c>
      <c r="H14" s="27">
        <f>IF(AND(H$4&gt;=$D14,H$4&lt;=$E14),1,"")</f>
      </c>
      <c r="I14" s="27">
        <f>IF(AND(I$4&gt;=$D14,I$4&lt;=$E14),1,"")</f>
      </c>
      <c r="J14" s="27">
        <f>IF(AND(J$4&gt;=$D14,J$4&lt;=$E14),1,"")</f>
      </c>
      <c r="K14" s="27">
        <f>IF(AND(K$4&gt;=$D14,K$4&lt;=$E14),1,"")</f>
      </c>
      <c r="L14" s="27">
        <f>IF(AND(L$4&gt;=$D14,L$4&lt;=$E14),1,"")</f>
      </c>
      <c r="M14" s="27">
        <f>IF(AND(M$4&gt;=$D14,M$4&lt;=$E14),1,"")</f>
      </c>
      <c r="N14" s="27">
        <f>IF(AND(N$4&gt;=$D14,N$4&lt;=$E14),1,"")</f>
      </c>
      <c r="O14" s="27">
        <f>IF(AND(O$4&gt;=$D14,O$4&lt;=$E14),1,"")</f>
      </c>
      <c r="P14" s="27">
        <f>IF(AND(P$4&gt;=$D14,P$4&lt;=$E14),1,"")</f>
      </c>
      <c r="Q14" s="27">
        <f>IF(AND(Q$4&gt;=$D14,Q$4&lt;=$E14),1,"")</f>
      </c>
      <c r="R14" s="27">
        <f>IF(AND(R$4&gt;=$D14,R$4&lt;=$E14),1,"")</f>
      </c>
      <c r="S14" s="27">
        <f>IF(AND(S$4&gt;=$D14,S$4&lt;=$E14),1,"")</f>
      </c>
      <c r="T14" s="27">
        <f>IF(AND(T$4&gt;=$D14,T$4&lt;=$E14),1,"")</f>
      </c>
      <c r="U14" s="27">
        <f>IF(AND(U$4&gt;=$D14,U$4&lt;=$E14),1,"")</f>
      </c>
      <c r="V14" s="27">
        <f>IF(AND(V$4&gt;=$D14,V$4&lt;=$E14),1,"")</f>
      </c>
      <c r="W14" s="27">
        <f>IF(AND(W$4&gt;=$D14,W$4&lt;=$E14),1,"")</f>
      </c>
      <c r="X14" s="27">
        <f>IF(AND(X$4&gt;=$D14,X$4&lt;=$E14),1,"")</f>
      </c>
      <c r="Y14" s="27">
        <f>IF(AND(Y$4&gt;=$D14,Y$4&lt;=$E14),1,"")</f>
      </c>
      <c r="Z14" s="27">
        <f>IF(AND(Z$4&gt;=$D14,Z$4&lt;=$E14),1,"")</f>
      </c>
      <c r="AA14" s="27">
        <f>IF(AND(AA$4&gt;=$D14,AA$4&lt;=$E14),1,"")</f>
      </c>
      <c r="AB14" s="27">
        <f>IF(AND(AB$4&gt;=$D14,AB$4&lt;=$E14),1,"")</f>
      </c>
      <c r="AC14" s="27">
        <f>IF(AND(AC$4&gt;=$D14,AC$4&lt;=$E14),1,"")</f>
      </c>
      <c r="AD14" s="27">
        <f>IF(AND(AD$4&gt;=$D14,AD$4&lt;=$E14),1,"")</f>
      </c>
      <c r="AE14" s="27">
        <f>IF(AND(AE$4&gt;=$D14,AE$4&lt;=$E14),1,"")</f>
      </c>
      <c r="AF14" s="27">
        <f>IF(AND(AF$4&gt;=$D14,AF$4&lt;=$E14),1,"")</f>
      </c>
      <c r="AG14" s="27">
        <f>IF(AND(AG$4&gt;=$D14,AG$4&lt;=$E14),1,"")</f>
      </c>
      <c r="AH14" s="27">
        <f>IF(AND(AH$4&gt;=$D14,AH$4&lt;=$E14),1,"")</f>
      </c>
      <c r="AI14" s="27">
        <f>IF(AND(AI$4&gt;=$D14,AI$4&lt;=$E14),1,"")</f>
      </c>
      <c r="AJ14" s="27">
        <f>IF(AND(AJ$4&gt;=$D14,AJ$4&lt;=$E14),1,"")</f>
      </c>
      <c r="AK14" s="27">
        <f>IF(AND(AK$4&gt;=$D14,AK$4&lt;=$E14),1,"")</f>
      </c>
      <c r="AL14" s="27">
        <f>IF(AND(AL$4&gt;=$D14,AL$4&lt;=$E14),1,"")</f>
      </c>
      <c r="AM14" s="27">
        <f>IF(AND(AM$4&gt;=$D14,AM$4&lt;=$E14),1,"")</f>
      </c>
      <c r="AN14" s="27">
        <f>IF(AND(AN$4&gt;=$D14,AN$4&lt;=$E14),1,"")</f>
      </c>
      <c r="AO14" s="27">
        <f>IF(AND(AO$4&gt;=$D14,AO$4&lt;=$E14),1,"")</f>
      </c>
      <c r="AP14" s="27">
        <f>IF(AND(AP$4&gt;=$D14,AP$4&lt;=$E14),1,"")</f>
      </c>
      <c r="AQ14" s="27">
        <f>IF(AND(AQ$4&gt;=$D14,AQ$4&lt;=$E14),1,"")</f>
      </c>
      <c r="AR14" s="27">
        <f>IF(AND(AR$4&gt;=$D14,AR$4&lt;=$E14),1,"")</f>
      </c>
      <c r="AS14" s="27">
        <f>IF(AND(AS$4&gt;=$D14,AS$4&lt;=$E14),1,"")</f>
      </c>
    </row>
    <row r="15">
      <c r="A15" t="inlineStr">
        <is>
          <t>NOVA-R11</t>
        </is>
      </c>
      <c r="B15" t="inlineStr">
        <is>
          <t xml:space="preserve">LOT 3</t>
        </is>
      </c>
      <c r="C15" t="inlineStr">
        <is>
          <t xml:space="preserve">Mapper Evidence → écran Sources sans créer un nouveau domaine</t>
        </is>
      </c>
      <c r="D15" s="26">
        <f>Roadmap!I15</f>
      </c>
      <c r="E15" s="26">
        <f>Roadmap!K15</f>
      </c>
      <c r="F15">
        <f>Roadmap!G15</f>
      </c>
      <c r="G15" s="27">
        <f>IF(AND(G$4&gt;=$D15,G$4&lt;=$E15),1,"")</f>
      </c>
      <c r="H15" s="27">
        <f>IF(AND(H$4&gt;=$D15,H$4&lt;=$E15),1,"")</f>
      </c>
      <c r="I15" s="27">
        <f>IF(AND(I$4&gt;=$D15,I$4&lt;=$E15),1,"")</f>
      </c>
      <c r="J15" s="27">
        <f>IF(AND(J$4&gt;=$D15,J$4&lt;=$E15),1,"")</f>
      </c>
      <c r="K15" s="27">
        <f>IF(AND(K$4&gt;=$D15,K$4&lt;=$E15),1,"")</f>
      </c>
      <c r="L15" s="27">
        <f>IF(AND(L$4&gt;=$D15,L$4&lt;=$E15),1,"")</f>
      </c>
      <c r="M15" s="27">
        <f>IF(AND(M$4&gt;=$D15,M$4&lt;=$E15),1,"")</f>
      </c>
      <c r="N15" s="27">
        <f>IF(AND(N$4&gt;=$D15,N$4&lt;=$E15),1,"")</f>
      </c>
      <c r="O15" s="27">
        <f>IF(AND(O$4&gt;=$D15,O$4&lt;=$E15),1,"")</f>
      </c>
      <c r="P15" s="27">
        <f>IF(AND(P$4&gt;=$D15,P$4&lt;=$E15),1,"")</f>
      </c>
      <c r="Q15" s="27">
        <f>IF(AND(Q$4&gt;=$D15,Q$4&lt;=$E15),1,"")</f>
      </c>
      <c r="R15" s="27">
        <f>IF(AND(R$4&gt;=$D15,R$4&lt;=$E15),1,"")</f>
      </c>
      <c r="S15" s="27">
        <f>IF(AND(S$4&gt;=$D15,S$4&lt;=$E15),1,"")</f>
      </c>
      <c r="T15" s="27">
        <f>IF(AND(T$4&gt;=$D15,T$4&lt;=$E15),1,"")</f>
      </c>
      <c r="U15" s="27">
        <f>IF(AND(U$4&gt;=$D15,U$4&lt;=$E15),1,"")</f>
      </c>
      <c r="V15" s="27">
        <f>IF(AND(V$4&gt;=$D15,V$4&lt;=$E15),1,"")</f>
      </c>
      <c r="W15" s="27">
        <f>IF(AND(W$4&gt;=$D15,W$4&lt;=$E15),1,"")</f>
      </c>
      <c r="X15" s="27">
        <f>IF(AND(X$4&gt;=$D15,X$4&lt;=$E15),1,"")</f>
      </c>
      <c r="Y15" s="27">
        <f>IF(AND(Y$4&gt;=$D15,Y$4&lt;=$E15),1,"")</f>
      </c>
      <c r="Z15" s="27">
        <f>IF(AND(Z$4&gt;=$D15,Z$4&lt;=$E15),1,"")</f>
      </c>
      <c r="AA15" s="27">
        <f>IF(AND(AA$4&gt;=$D15,AA$4&lt;=$E15),1,"")</f>
      </c>
      <c r="AB15" s="27">
        <f>IF(AND(AB$4&gt;=$D15,AB$4&lt;=$E15),1,"")</f>
      </c>
      <c r="AC15" s="27">
        <f>IF(AND(AC$4&gt;=$D15,AC$4&lt;=$E15),1,"")</f>
      </c>
      <c r="AD15" s="27">
        <f>IF(AND(AD$4&gt;=$D15,AD$4&lt;=$E15),1,"")</f>
      </c>
      <c r="AE15" s="27">
        <f>IF(AND(AE$4&gt;=$D15,AE$4&lt;=$E15),1,"")</f>
      </c>
      <c r="AF15" s="27">
        <f>IF(AND(AF$4&gt;=$D15,AF$4&lt;=$E15),1,"")</f>
      </c>
      <c r="AG15" s="27">
        <f>IF(AND(AG$4&gt;=$D15,AG$4&lt;=$E15),1,"")</f>
      </c>
      <c r="AH15" s="27">
        <f>IF(AND(AH$4&gt;=$D15,AH$4&lt;=$E15),1,"")</f>
      </c>
      <c r="AI15" s="27">
        <f>IF(AND(AI$4&gt;=$D15,AI$4&lt;=$E15),1,"")</f>
      </c>
      <c r="AJ15" s="27">
        <f>IF(AND(AJ$4&gt;=$D15,AJ$4&lt;=$E15),1,"")</f>
      </c>
      <c r="AK15" s="27">
        <f>IF(AND(AK$4&gt;=$D15,AK$4&lt;=$E15),1,"")</f>
      </c>
      <c r="AL15" s="27">
        <f>IF(AND(AL$4&gt;=$D15,AL$4&lt;=$E15),1,"")</f>
      </c>
      <c r="AM15" s="27">
        <f>IF(AND(AM$4&gt;=$D15,AM$4&lt;=$E15),1,"")</f>
      </c>
      <c r="AN15" s="27">
        <f>IF(AND(AN$4&gt;=$D15,AN$4&lt;=$E15),1,"")</f>
      </c>
      <c r="AO15" s="27">
        <f>IF(AND(AO$4&gt;=$D15,AO$4&lt;=$E15),1,"")</f>
      </c>
      <c r="AP15" s="27">
        <f>IF(AND(AP$4&gt;=$D15,AP$4&lt;=$E15),1,"")</f>
      </c>
      <c r="AQ15" s="27">
        <f>IF(AND(AQ$4&gt;=$D15,AQ$4&lt;=$E15),1,"")</f>
      </c>
      <c r="AR15" s="27">
        <f>IF(AND(AR$4&gt;=$D15,AR$4&lt;=$E15),1,"")</f>
      </c>
      <c r="AS15" s="27">
        <f>IF(AND(AS$4&gt;=$D15,AS$4&lt;=$E15),1,"")</f>
      </c>
    </row>
    <row r="16">
      <c r="A16" t="inlineStr">
        <is>
          <t>NOVA-R12</t>
        </is>
      </c>
      <c r="B16" t="inlineStr">
        <is>
          <t xml:space="preserve">LOT 3</t>
        </is>
      </c>
      <c r="C16" t="inlineStr">
        <is>
          <t xml:space="preserve">Remplacer les fixtures restantes des écrans Work par des services réels</t>
        </is>
      </c>
      <c r="D16" s="26">
        <f>Roadmap!I16</f>
      </c>
      <c r="E16" s="26">
        <f>Roadmap!K16</f>
      </c>
      <c r="F16">
        <f>Roadmap!G16</f>
      </c>
      <c r="G16" s="27">
        <f>IF(AND(G$4&gt;=$D16,G$4&lt;=$E16),1,"")</f>
      </c>
      <c r="H16" s="27">
        <f>IF(AND(H$4&gt;=$D16,H$4&lt;=$E16),1,"")</f>
      </c>
      <c r="I16" s="27">
        <f>IF(AND(I$4&gt;=$D16,I$4&lt;=$E16),1,"")</f>
      </c>
      <c r="J16" s="27">
        <f>IF(AND(J$4&gt;=$D16,J$4&lt;=$E16),1,"")</f>
      </c>
      <c r="K16" s="27">
        <f>IF(AND(K$4&gt;=$D16,K$4&lt;=$E16),1,"")</f>
      </c>
      <c r="L16" s="27">
        <f>IF(AND(L$4&gt;=$D16,L$4&lt;=$E16),1,"")</f>
      </c>
      <c r="M16" s="27">
        <f>IF(AND(M$4&gt;=$D16,M$4&lt;=$E16),1,"")</f>
      </c>
      <c r="N16" s="27">
        <f>IF(AND(N$4&gt;=$D16,N$4&lt;=$E16),1,"")</f>
      </c>
      <c r="O16" s="27">
        <f>IF(AND(O$4&gt;=$D16,O$4&lt;=$E16),1,"")</f>
      </c>
      <c r="P16" s="27">
        <f>IF(AND(P$4&gt;=$D16,P$4&lt;=$E16),1,"")</f>
      </c>
      <c r="Q16" s="27">
        <f>IF(AND(Q$4&gt;=$D16,Q$4&lt;=$E16),1,"")</f>
      </c>
      <c r="R16" s="27">
        <f>IF(AND(R$4&gt;=$D16,R$4&lt;=$E16),1,"")</f>
      </c>
      <c r="S16" s="27">
        <f>IF(AND(S$4&gt;=$D16,S$4&lt;=$E16),1,"")</f>
      </c>
      <c r="T16" s="27">
        <f>IF(AND(T$4&gt;=$D16,T$4&lt;=$E16),1,"")</f>
      </c>
      <c r="U16" s="27">
        <f>IF(AND(U$4&gt;=$D16,U$4&lt;=$E16),1,"")</f>
      </c>
      <c r="V16" s="27">
        <f>IF(AND(V$4&gt;=$D16,V$4&lt;=$E16),1,"")</f>
      </c>
      <c r="W16" s="27">
        <f>IF(AND(W$4&gt;=$D16,W$4&lt;=$E16),1,"")</f>
      </c>
      <c r="X16" s="27">
        <f>IF(AND(X$4&gt;=$D16,X$4&lt;=$E16),1,"")</f>
      </c>
      <c r="Y16" s="27">
        <f>IF(AND(Y$4&gt;=$D16,Y$4&lt;=$E16),1,"")</f>
      </c>
      <c r="Z16" s="27">
        <f>IF(AND(Z$4&gt;=$D16,Z$4&lt;=$E16),1,"")</f>
      </c>
      <c r="AA16" s="27">
        <f>IF(AND(AA$4&gt;=$D16,AA$4&lt;=$E16),1,"")</f>
      </c>
      <c r="AB16" s="27">
        <f>IF(AND(AB$4&gt;=$D16,AB$4&lt;=$E16),1,"")</f>
      </c>
      <c r="AC16" s="27">
        <f>IF(AND(AC$4&gt;=$D16,AC$4&lt;=$E16),1,"")</f>
      </c>
      <c r="AD16" s="27">
        <f>IF(AND(AD$4&gt;=$D16,AD$4&lt;=$E16),1,"")</f>
      </c>
      <c r="AE16" s="27">
        <f>IF(AND(AE$4&gt;=$D16,AE$4&lt;=$E16),1,"")</f>
      </c>
      <c r="AF16" s="27">
        <f>IF(AND(AF$4&gt;=$D16,AF$4&lt;=$E16),1,"")</f>
      </c>
      <c r="AG16" s="27">
        <f>IF(AND(AG$4&gt;=$D16,AG$4&lt;=$E16),1,"")</f>
      </c>
      <c r="AH16" s="27">
        <f>IF(AND(AH$4&gt;=$D16,AH$4&lt;=$E16),1,"")</f>
      </c>
      <c r="AI16" s="27">
        <f>IF(AND(AI$4&gt;=$D16,AI$4&lt;=$E16),1,"")</f>
      </c>
      <c r="AJ16" s="27">
        <f>IF(AND(AJ$4&gt;=$D16,AJ$4&lt;=$E16),1,"")</f>
      </c>
      <c r="AK16" s="27">
        <f>IF(AND(AK$4&gt;=$D16,AK$4&lt;=$E16),1,"")</f>
      </c>
      <c r="AL16" s="27">
        <f>IF(AND(AL$4&gt;=$D16,AL$4&lt;=$E16),1,"")</f>
      </c>
      <c r="AM16" s="27">
        <f>IF(AND(AM$4&gt;=$D16,AM$4&lt;=$E16),1,"")</f>
      </c>
      <c r="AN16" s="27">
        <f>IF(AND(AN$4&gt;=$D16,AN$4&lt;=$E16),1,"")</f>
      </c>
      <c r="AO16" s="27">
        <f>IF(AND(AO$4&gt;=$D16,AO$4&lt;=$E16),1,"")</f>
      </c>
      <c r="AP16" s="27">
        <f>IF(AND(AP$4&gt;=$D16,AP$4&lt;=$E16),1,"")</f>
      </c>
      <c r="AQ16" s="27">
        <f>IF(AND(AQ$4&gt;=$D16,AQ$4&lt;=$E16),1,"")</f>
      </c>
      <c r="AR16" s="27">
        <f>IF(AND(AR$4&gt;=$D16,AR$4&lt;=$E16),1,"")</f>
      </c>
      <c r="AS16" s="27">
        <f>IF(AND(AS$4&gt;=$D16,AS$4&lt;=$E16),1,"")</f>
      </c>
    </row>
    <row r="17">
      <c r="A17" t="inlineStr">
        <is>
          <t>NOVA-R13</t>
        </is>
      </c>
      <c r="B17" t="inlineStr">
        <is>
          <t xml:space="preserve">LOT 4</t>
        </is>
      </c>
      <c r="C17" t="inlineStr">
        <is>
          <t xml:space="preserve">Brancher Decisions globales au moteur réel</t>
        </is>
      </c>
      <c r="D17" s="26">
        <f>Roadmap!I17</f>
      </c>
      <c r="E17" s="26">
        <f>Roadmap!K17</f>
      </c>
      <c r="F17">
        <f>Roadmap!G17</f>
      </c>
      <c r="G17" s="27">
        <f>IF(AND(G$4&gt;=$D17,G$4&lt;=$E17),1,"")</f>
      </c>
      <c r="H17" s="27">
        <f>IF(AND(H$4&gt;=$D17,H$4&lt;=$E17),1,"")</f>
      </c>
      <c r="I17" s="27">
        <f>IF(AND(I$4&gt;=$D17,I$4&lt;=$E17),1,"")</f>
      </c>
      <c r="J17" s="27">
        <f>IF(AND(J$4&gt;=$D17,J$4&lt;=$E17),1,"")</f>
      </c>
      <c r="K17" s="27">
        <f>IF(AND(K$4&gt;=$D17,K$4&lt;=$E17),1,"")</f>
      </c>
      <c r="L17" s="27">
        <f>IF(AND(L$4&gt;=$D17,L$4&lt;=$E17),1,"")</f>
      </c>
      <c r="M17" s="27">
        <f>IF(AND(M$4&gt;=$D17,M$4&lt;=$E17),1,"")</f>
      </c>
      <c r="N17" s="27">
        <f>IF(AND(N$4&gt;=$D17,N$4&lt;=$E17),1,"")</f>
      </c>
      <c r="O17" s="27">
        <f>IF(AND(O$4&gt;=$D17,O$4&lt;=$E17),1,"")</f>
      </c>
      <c r="P17" s="27">
        <f>IF(AND(P$4&gt;=$D17,P$4&lt;=$E17),1,"")</f>
      </c>
      <c r="Q17" s="27">
        <f>IF(AND(Q$4&gt;=$D17,Q$4&lt;=$E17),1,"")</f>
      </c>
      <c r="R17" s="27">
        <f>IF(AND(R$4&gt;=$D17,R$4&lt;=$E17),1,"")</f>
      </c>
      <c r="S17" s="27">
        <f>IF(AND(S$4&gt;=$D17,S$4&lt;=$E17),1,"")</f>
      </c>
      <c r="T17" s="27">
        <f>IF(AND(T$4&gt;=$D17,T$4&lt;=$E17),1,"")</f>
      </c>
      <c r="U17" s="27">
        <f>IF(AND(U$4&gt;=$D17,U$4&lt;=$E17),1,"")</f>
      </c>
      <c r="V17" s="27">
        <f>IF(AND(V$4&gt;=$D17,V$4&lt;=$E17),1,"")</f>
      </c>
      <c r="W17" s="27">
        <f>IF(AND(W$4&gt;=$D17,W$4&lt;=$E17),1,"")</f>
      </c>
      <c r="X17" s="27">
        <f>IF(AND(X$4&gt;=$D17,X$4&lt;=$E17),1,"")</f>
      </c>
      <c r="Y17" s="27">
        <f>IF(AND(Y$4&gt;=$D17,Y$4&lt;=$E17),1,"")</f>
      </c>
      <c r="Z17" s="27">
        <f>IF(AND(Z$4&gt;=$D17,Z$4&lt;=$E17),1,"")</f>
      </c>
      <c r="AA17" s="27">
        <f>IF(AND(AA$4&gt;=$D17,AA$4&lt;=$E17),1,"")</f>
      </c>
      <c r="AB17" s="27">
        <f>IF(AND(AB$4&gt;=$D17,AB$4&lt;=$E17),1,"")</f>
      </c>
      <c r="AC17" s="27">
        <f>IF(AND(AC$4&gt;=$D17,AC$4&lt;=$E17),1,"")</f>
      </c>
      <c r="AD17" s="27">
        <f>IF(AND(AD$4&gt;=$D17,AD$4&lt;=$E17),1,"")</f>
      </c>
      <c r="AE17" s="27">
        <f>IF(AND(AE$4&gt;=$D17,AE$4&lt;=$E17),1,"")</f>
      </c>
      <c r="AF17" s="27">
        <f>IF(AND(AF$4&gt;=$D17,AF$4&lt;=$E17),1,"")</f>
      </c>
      <c r="AG17" s="27">
        <f>IF(AND(AG$4&gt;=$D17,AG$4&lt;=$E17),1,"")</f>
      </c>
      <c r="AH17" s="27">
        <f>IF(AND(AH$4&gt;=$D17,AH$4&lt;=$E17),1,"")</f>
      </c>
      <c r="AI17" s="27">
        <f>IF(AND(AI$4&gt;=$D17,AI$4&lt;=$E17),1,"")</f>
      </c>
      <c r="AJ17" s="27">
        <f>IF(AND(AJ$4&gt;=$D17,AJ$4&lt;=$E17),1,"")</f>
      </c>
      <c r="AK17" s="27">
        <f>IF(AND(AK$4&gt;=$D17,AK$4&lt;=$E17),1,"")</f>
      </c>
      <c r="AL17" s="27">
        <f>IF(AND(AL$4&gt;=$D17,AL$4&lt;=$E17),1,"")</f>
      </c>
      <c r="AM17" s="27">
        <f>IF(AND(AM$4&gt;=$D17,AM$4&lt;=$E17),1,"")</f>
      </c>
      <c r="AN17" s="27">
        <f>IF(AND(AN$4&gt;=$D17,AN$4&lt;=$E17),1,"")</f>
      </c>
      <c r="AO17" s="27">
        <f>IF(AND(AO$4&gt;=$D17,AO$4&lt;=$E17),1,"")</f>
      </c>
      <c r="AP17" s="27">
        <f>IF(AND(AP$4&gt;=$D17,AP$4&lt;=$E17),1,"")</f>
      </c>
      <c r="AQ17" s="27">
        <f>IF(AND(AQ$4&gt;=$D17,AQ$4&lt;=$E17),1,"")</f>
      </c>
      <c r="AR17" s="27">
        <f>IF(AND(AR$4&gt;=$D17,AR$4&lt;=$E17),1,"")</f>
      </c>
      <c r="AS17" s="27">
        <f>IF(AND(AS$4&gt;=$D17,AS$4&lt;=$E17),1,"")</f>
      </c>
    </row>
    <row r="18">
      <c r="A18" t="inlineStr">
        <is>
          <t>NOVA-R14</t>
        </is>
      </c>
      <c r="B18" t="inlineStr">
        <is>
          <t xml:space="preserve">LOT 4</t>
        </is>
      </c>
      <c r="C18" t="inlineStr">
        <is>
          <t xml:space="preserve">Prouver Review → Decide → Record → Receipt avec persistance et autorité</t>
        </is>
      </c>
      <c r="D18" s="26">
        <f>Roadmap!I18</f>
      </c>
      <c r="E18" s="26">
        <f>Roadmap!K18</f>
      </c>
      <c r="F18">
        <f>Roadmap!G18</f>
      </c>
      <c r="G18" s="27">
        <f>IF(AND(G$4&gt;=$D18,G$4&lt;=$E18),1,"")</f>
      </c>
      <c r="H18" s="27">
        <f>IF(AND(H$4&gt;=$D18,H$4&lt;=$E18),1,"")</f>
      </c>
      <c r="I18" s="27">
        <f>IF(AND(I$4&gt;=$D18,I$4&lt;=$E18),1,"")</f>
      </c>
      <c r="J18" s="27">
        <f>IF(AND(J$4&gt;=$D18,J$4&lt;=$E18),1,"")</f>
      </c>
      <c r="K18" s="27">
        <f>IF(AND(K$4&gt;=$D18,K$4&lt;=$E18),1,"")</f>
      </c>
      <c r="L18" s="27">
        <f>IF(AND(L$4&gt;=$D18,L$4&lt;=$E18),1,"")</f>
      </c>
      <c r="M18" s="27">
        <f>IF(AND(M$4&gt;=$D18,M$4&lt;=$E18),1,"")</f>
      </c>
      <c r="N18" s="27">
        <f>IF(AND(N$4&gt;=$D18,N$4&lt;=$E18),1,"")</f>
      </c>
      <c r="O18" s="27">
        <f>IF(AND(O$4&gt;=$D18,O$4&lt;=$E18),1,"")</f>
      </c>
      <c r="P18" s="27">
        <f>IF(AND(P$4&gt;=$D18,P$4&lt;=$E18),1,"")</f>
      </c>
      <c r="Q18" s="27">
        <f>IF(AND(Q$4&gt;=$D18,Q$4&lt;=$E18),1,"")</f>
      </c>
      <c r="R18" s="27">
        <f>IF(AND(R$4&gt;=$D18,R$4&lt;=$E18),1,"")</f>
      </c>
      <c r="S18" s="27">
        <f>IF(AND(S$4&gt;=$D18,S$4&lt;=$E18),1,"")</f>
      </c>
      <c r="T18" s="27">
        <f>IF(AND(T$4&gt;=$D18,T$4&lt;=$E18),1,"")</f>
      </c>
      <c r="U18" s="27">
        <f>IF(AND(U$4&gt;=$D18,U$4&lt;=$E18),1,"")</f>
      </c>
      <c r="V18" s="27">
        <f>IF(AND(V$4&gt;=$D18,V$4&lt;=$E18),1,"")</f>
      </c>
      <c r="W18" s="27">
        <f>IF(AND(W$4&gt;=$D18,W$4&lt;=$E18),1,"")</f>
      </c>
      <c r="X18" s="27">
        <f>IF(AND(X$4&gt;=$D18,X$4&lt;=$E18),1,"")</f>
      </c>
      <c r="Y18" s="27">
        <f>IF(AND(Y$4&gt;=$D18,Y$4&lt;=$E18),1,"")</f>
      </c>
      <c r="Z18" s="27">
        <f>IF(AND(Z$4&gt;=$D18,Z$4&lt;=$E18),1,"")</f>
      </c>
      <c r="AA18" s="27">
        <f>IF(AND(AA$4&gt;=$D18,AA$4&lt;=$E18),1,"")</f>
      </c>
      <c r="AB18" s="27">
        <f>IF(AND(AB$4&gt;=$D18,AB$4&lt;=$E18),1,"")</f>
      </c>
      <c r="AC18" s="27">
        <f>IF(AND(AC$4&gt;=$D18,AC$4&lt;=$E18),1,"")</f>
      </c>
      <c r="AD18" s="27">
        <f>IF(AND(AD$4&gt;=$D18,AD$4&lt;=$E18),1,"")</f>
      </c>
      <c r="AE18" s="27">
        <f>IF(AND(AE$4&gt;=$D18,AE$4&lt;=$E18),1,"")</f>
      </c>
      <c r="AF18" s="27">
        <f>IF(AND(AF$4&gt;=$D18,AF$4&lt;=$E18),1,"")</f>
      </c>
      <c r="AG18" s="27">
        <f>IF(AND(AG$4&gt;=$D18,AG$4&lt;=$E18),1,"")</f>
      </c>
      <c r="AH18" s="27">
        <f>IF(AND(AH$4&gt;=$D18,AH$4&lt;=$E18),1,"")</f>
      </c>
      <c r="AI18" s="27">
        <f>IF(AND(AI$4&gt;=$D18,AI$4&lt;=$E18),1,"")</f>
      </c>
      <c r="AJ18" s="27">
        <f>IF(AND(AJ$4&gt;=$D18,AJ$4&lt;=$E18),1,"")</f>
      </c>
      <c r="AK18" s="27">
        <f>IF(AND(AK$4&gt;=$D18,AK$4&lt;=$E18),1,"")</f>
      </c>
      <c r="AL18" s="27">
        <f>IF(AND(AL$4&gt;=$D18,AL$4&lt;=$E18),1,"")</f>
      </c>
      <c r="AM18" s="27">
        <f>IF(AND(AM$4&gt;=$D18,AM$4&lt;=$E18),1,"")</f>
      </c>
      <c r="AN18" s="27">
        <f>IF(AND(AN$4&gt;=$D18,AN$4&lt;=$E18),1,"")</f>
      </c>
      <c r="AO18" s="27">
        <f>IF(AND(AO$4&gt;=$D18,AO$4&lt;=$E18),1,"")</f>
      </c>
      <c r="AP18" s="27">
        <f>IF(AND(AP$4&gt;=$D18,AP$4&lt;=$E18),1,"")</f>
      </c>
      <c r="AQ18" s="27">
        <f>IF(AND(AQ$4&gt;=$D18,AQ$4&lt;=$E18),1,"")</f>
      </c>
      <c r="AR18" s="27">
        <f>IF(AND(AR$4&gt;=$D18,AR$4&lt;=$E18),1,"")</f>
      </c>
      <c r="AS18" s="27">
        <f>IF(AND(AS$4&gt;=$D18,AS$4&lt;=$E18),1,"")</f>
      </c>
    </row>
    <row r="19">
      <c r="A19" t="inlineStr">
        <is>
          <t>NOVA-R15</t>
        </is>
      </c>
      <c r="B19" t="inlineStr">
        <is>
          <t xml:space="preserve">LOT 5</t>
        </is>
      </c>
      <c r="C19" t="inlineStr">
        <is>
          <t xml:space="preserve">Valider authentification UI → BFF en conditions réelles</t>
        </is>
      </c>
      <c r="D19" s="26">
        <f>Roadmap!I19</f>
      </c>
      <c r="E19" s="26">
        <f>Roadmap!K19</f>
      </c>
      <c r="F19">
        <f>Roadmap!G19</f>
      </c>
      <c r="G19" s="27">
        <f>IF(AND(G$4&gt;=$D19,G$4&lt;=$E19),1,"")</f>
      </c>
      <c r="H19" s="27">
        <f>IF(AND(H$4&gt;=$D19,H$4&lt;=$E19),1,"")</f>
      </c>
      <c r="I19" s="27">
        <f>IF(AND(I$4&gt;=$D19,I$4&lt;=$E19),1,"")</f>
      </c>
      <c r="J19" s="27">
        <f>IF(AND(J$4&gt;=$D19,J$4&lt;=$E19),1,"")</f>
      </c>
      <c r="K19" s="27">
        <f>IF(AND(K$4&gt;=$D19,K$4&lt;=$E19),1,"")</f>
      </c>
      <c r="L19" s="27">
        <f>IF(AND(L$4&gt;=$D19,L$4&lt;=$E19),1,"")</f>
      </c>
      <c r="M19" s="27">
        <f>IF(AND(M$4&gt;=$D19,M$4&lt;=$E19),1,"")</f>
      </c>
      <c r="N19" s="27">
        <f>IF(AND(N$4&gt;=$D19,N$4&lt;=$E19),1,"")</f>
      </c>
      <c r="O19" s="27">
        <f>IF(AND(O$4&gt;=$D19,O$4&lt;=$E19),1,"")</f>
      </c>
      <c r="P19" s="27">
        <f>IF(AND(P$4&gt;=$D19,P$4&lt;=$E19),1,"")</f>
      </c>
      <c r="Q19" s="27">
        <f>IF(AND(Q$4&gt;=$D19,Q$4&lt;=$E19),1,"")</f>
      </c>
      <c r="R19" s="27">
        <f>IF(AND(R$4&gt;=$D19,R$4&lt;=$E19),1,"")</f>
      </c>
      <c r="S19" s="27">
        <f>IF(AND(S$4&gt;=$D19,S$4&lt;=$E19),1,"")</f>
      </c>
      <c r="T19" s="27">
        <f>IF(AND(T$4&gt;=$D19,T$4&lt;=$E19),1,"")</f>
      </c>
      <c r="U19" s="27">
        <f>IF(AND(U$4&gt;=$D19,U$4&lt;=$E19),1,"")</f>
      </c>
      <c r="V19" s="27">
        <f>IF(AND(V$4&gt;=$D19,V$4&lt;=$E19),1,"")</f>
      </c>
      <c r="W19" s="27">
        <f>IF(AND(W$4&gt;=$D19,W$4&lt;=$E19),1,"")</f>
      </c>
      <c r="X19" s="27">
        <f>IF(AND(X$4&gt;=$D19,X$4&lt;=$E19),1,"")</f>
      </c>
      <c r="Y19" s="27">
        <f>IF(AND(Y$4&gt;=$D19,Y$4&lt;=$E19),1,"")</f>
      </c>
      <c r="Z19" s="27">
        <f>IF(AND(Z$4&gt;=$D19,Z$4&lt;=$E19),1,"")</f>
      </c>
      <c r="AA19" s="27">
        <f>IF(AND(AA$4&gt;=$D19,AA$4&lt;=$E19),1,"")</f>
      </c>
      <c r="AB19" s="27">
        <f>IF(AND(AB$4&gt;=$D19,AB$4&lt;=$E19),1,"")</f>
      </c>
      <c r="AC19" s="27">
        <f>IF(AND(AC$4&gt;=$D19,AC$4&lt;=$E19),1,"")</f>
      </c>
      <c r="AD19" s="27">
        <f>IF(AND(AD$4&gt;=$D19,AD$4&lt;=$E19),1,"")</f>
      </c>
      <c r="AE19" s="27">
        <f>IF(AND(AE$4&gt;=$D19,AE$4&lt;=$E19),1,"")</f>
      </c>
      <c r="AF19" s="27">
        <f>IF(AND(AF$4&gt;=$D19,AF$4&lt;=$E19),1,"")</f>
      </c>
      <c r="AG19" s="27">
        <f>IF(AND(AG$4&gt;=$D19,AG$4&lt;=$E19),1,"")</f>
      </c>
      <c r="AH19" s="27">
        <f>IF(AND(AH$4&gt;=$D19,AH$4&lt;=$E19),1,"")</f>
      </c>
      <c r="AI19" s="27">
        <f>IF(AND(AI$4&gt;=$D19,AI$4&lt;=$E19),1,"")</f>
      </c>
      <c r="AJ19" s="27">
        <f>IF(AND(AJ$4&gt;=$D19,AJ$4&lt;=$E19),1,"")</f>
      </c>
      <c r="AK19" s="27">
        <f>IF(AND(AK$4&gt;=$D19,AK$4&lt;=$E19),1,"")</f>
      </c>
      <c r="AL19" s="27">
        <f>IF(AND(AL$4&gt;=$D19,AL$4&lt;=$E19),1,"")</f>
      </c>
      <c r="AM19" s="27">
        <f>IF(AND(AM$4&gt;=$D19,AM$4&lt;=$E19),1,"")</f>
      </c>
      <c r="AN19" s="27">
        <f>IF(AND(AN$4&gt;=$D19,AN$4&lt;=$E19),1,"")</f>
      </c>
      <c r="AO19" s="27">
        <f>IF(AND(AO$4&gt;=$D19,AO$4&lt;=$E19),1,"")</f>
      </c>
      <c r="AP19" s="27">
        <f>IF(AND(AP$4&gt;=$D19,AP$4&lt;=$E19),1,"")</f>
      </c>
      <c r="AQ19" s="27">
        <f>IF(AND(AQ$4&gt;=$D19,AQ$4&lt;=$E19),1,"")</f>
      </c>
      <c r="AR19" s="27">
        <f>IF(AND(AR$4&gt;=$D19,AR$4&lt;=$E19),1,"")</f>
      </c>
      <c r="AS19" s="27">
        <f>IF(AND(AS$4&gt;=$D19,AS$4&lt;=$E19),1,"")</f>
      </c>
    </row>
    <row r="20">
      <c r="A20" t="inlineStr">
        <is>
          <t>NOVA-R16</t>
        </is>
      </c>
      <c r="B20" t="inlineStr">
        <is>
          <t xml:space="preserve">LOT 5</t>
        </is>
      </c>
      <c r="C20" t="inlineStr">
        <is>
          <t xml:space="preserve">Revalider l'ancien blocage Execution Integrity sur le code actuel</t>
        </is>
      </c>
      <c r="D20" s="26">
        <f>Roadmap!I20</f>
      </c>
      <c r="E20" s="26">
        <f>Roadmap!K20</f>
      </c>
      <c r="F20">
        <f>Roadmap!G20</f>
      </c>
      <c r="G20" s="27">
        <f>IF(AND(G$4&gt;=$D20,G$4&lt;=$E20),1,"")</f>
      </c>
      <c r="H20" s="27">
        <f>IF(AND(H$4&gt;=$D20,H$4&lt;=$E20),1,"")</f>
      </c>
      <c r="I20" s="27">
        <f>IF(AND(I$4&gt;=$D20,I$4&lt;=$E20),1,"")</f>
      </c>
      <c r="J20" s="27">
        <f>IF(AND(J$4&gt;=$D20,J$4&lt;=$E20),1,"")</f>
      </c>
      <c r="K20" s="27">
        <f>IF(AND(K$4&gt;=$D20,K$4&lt;=$E20),1,"")</f>
      </c>
      <c r="L20" s="27">
        <f>IF(AND(L$4&gt;=$D20,L$4&lt;=$E20),1,"")</f>
      </c>
      <c r="M20" s="27">
        <f>IF(AND(M$4&gt;=$D20,M$4&lt;=$E20),1,"")</f>
      </c>
      <c r="N20" s="27">
        <f>IF(AND(N$4&gt;=$D20,N$4&lt;=$E20),1,"")</f>
      </c>
      <c r="O20" s="27">
        <f>IF(AND(O$4&gt;=$D20,O$4&lt;=$E20),1,"")</f>
      </c>
      <c r="P20" s="27">
        <f>IF(AND(P$4&gt;=$D20,P$4&lt;=$E20),1,"")</f>
      </c>
      <c r="Q20" s="27">
        <f>IF(AND(Q$4&gt;=$D20,Q$4&lt;=$E20),1,"")</f>
      </c>
      <c r="R20" s="27">
        <f>IF(AND(R$4&gt;=$D20,R$4&lt;=$E20),1,"")</f>
      </c>
      <c r="S20" s="27">
        <f>IF(AND(S$4&gt;=$D20,S$4&lt;=$E20),1,"")</f>
      </c>
      <c r="T20" s="27">
        <f>IF(AND(T$4&gt;=$D20,T$4&lt;=$E20),1,"")</f>
      </c>
      <c r="U20" s="27">
        <f>IF(AND(U$4&gt;=$D20,U$4&lt;=$E20),1,"")</f>
      </c>
      <c r="V20" s="27">
        <f>IF(AND(V$4&gt;=$D20,V$4&lt;=$E20),1,"")</f>
      </c>
      <c r="W20" s="27">
        <f>IF(AND(W$4&gt;=$D20,W$4&lt;=$E20),1,"")</f>
      </c>
      <c r="X20" s="27">
        <f>IF(AND(X$4&gt;=$D20,X$4&lt;=$E20),1,"")</f>
      </c>
      <c r="Y20" s="27">
        <f>IF(AND(Y$4&gt;=$D20,Y$4&lt;=$E20),1,"")</f>
      </c>
      <c r="Z20" s="27">
        <f>IF(AND(Z$4&gt;=$D20,Z$4&lt;=$E20),1,"")</f>
      </c>
      <c r="AA20" s="27">
        <f>IF(AND(AA$4&gt;=$D20,AA$4&lt;=$E20),1,"")</f>
      </c>
      <c r="AB20" s="27">
        <f>IF(AND(AB$4&gt;=$D20,AB$4&lt;=$E20),1,"")</f>
      </c>
      <c r="AC20" s="27">
        <f>IF(AND(AC$4&gt;=$D20,AC$4&lt;=$E20),1,"")</f>
      </c>
      <c r="AD20" s="27">
        <f>IF(AND(AD$4&gt;=$D20,AD$4&lt;=$E20),1,"")</f>
      </c>
      <c r="AE20" s="27">
        <f>IF(AND(AE$4&gt;=$D20,AE$4&lt;=$E20),1,"")</f>
      </c>
      <c r="AF20" s="27">
        <f>IF(AND(AF$4&gt;=$D20,AF$4&lt;=$E20),1,"")</f>
      </c>
      <c r="AG20" s="27">
        <f>IF(AND(AG$4&gt;=$D20,AG$4&lt;=$E20),1,"")</f>
      </c>
      <c r="AH20" s="27">
        <f>IF(AND(AH$4&gt;=$D20,AH$4&lt;=$E20),1,"")</f>
      </c>
      <c r="AI20" s="27">
        <f>IF(AND(AI$4&gt;=$D20,AI$4&lt;=$E20),1,"")</f>
      </c>
      <c r="AJ20" s="27">
        <f>IF(AND(AJ$4&gt;=$D20,AJ$4&lt;=$E20),1,"")</f>
      </c>
      <c r="AK20" s="27">
        <f>IF(AND(AK$4&gt;=$D20,AK$4&lt;=$E20),1,"")</f>
      </c>
      <c r="AL20" s="27">
        <f>IF(AND(AL$4&gt;=$D20,AL$4&lt;=$E20),1,"")</f>
      </c>
      <c r="AM20" s="27">
        <f>IF(AND(AM$4&gt;=$D20,AM$4&lt;=$E20),1,"")</f>
      </c>
      <c r="AN20" s="27">
        <f>IF(AND(AN$4&gt;=$D20,AN$4&lt;=$E20),1,"")</f>
      </c>
      <c r="AO20" s="27">
        <f>IF(AND(AO$4&gt;=$D20,AO$4&lt;=$E20),1,"")</f>
      </c>
      <c r="AP20" s="27">
        <f>IF(AND(AP$4&gt;=$D20,AP$4&lt;=$E20),1,"")</f>
      </c>
      <c r="AQ20" s="27">
        <f>IF(AND(AQ$4&gt;=$D20,AQ$4&lt;=$E20),1,"")</f>
      </c>
      <c r="AR20" s="27">
        <f>IF(AND(AR$4&gt;=$D20,AR$4&lt;=$E20),1,"")</f>
      </c>
      <c r="AS20" s="27">
        <f>IF(AND(AS$4&gt;=$D20,AS$4&lt;=$E20),1,"")</f>
      </c>
    </row>
    <row r="21">
      <c r="A21" t="inlineStr">
        <is>
          <t>NOVA-R17</t>
        </is>
      </c>
      <c r="B21" t="inlineStr">
        <is>
          <t xml:space="preserve">LOT 5</t>
        </is>
      </c>
      <c r="C21" t="inlineStr">
        <is>
          <t xml:space="preserve">Revalider la persistance/reprise des sessions d'exécution</t>
        </is>
      </c>
      <c r="D21" s="26">
        <f>Roadmap!I21</f>
      </c>
      <c r="E21" s="26">
        <f>Roadmap!K21</f>
      </c>
      <c r="F21">
        <f>Roadmap!G21</f>
      </c>
      <c r="G21" s="27">
        <f>IF(AND(G$4&gt;=$D21,G$4&lt;=$E21),1,"")</f>
      </c>
      <c r="H21" s="27">
        <f>IF(AND(H$4&gt;=$D21,H$4&lt;=$E21),1,"")</f>
      </c>
      <c r="I21" s="27">
        <f>IF(AND(I$4&gt;=$D21,I$4&lt;=$E21),1,"")</f>
      </c>
      <c r="J21" s="27">
        <f>IF(AND(J$4&gt;=$D21,J$4&lt;=$E21),1,"")</f>
      </c>
      <c r="K21" s="27">
        <f>IF(AND(K$4&gt;=$D21,K$4&lt;=$E21),1,"")</f>
      </c>
      <c r="L21" s="27">
        <f>IF(AND(L$4&gt;=$D21,L$4&lt;=$E21),1,"")</f>
      </c>
      <c r="M21" s="27">
        <f>IF(AND(M$4&gt;=$D21,M$4&lt;=$E21),1,"")</f>
      </c>
      <c r="N21" s="27">
        <f>IF(AND(N$4&gt;=$D21,N$4&lt;=$E21),1,"")</f>
      </c>
      <c r="O21" s="27">
        <f>IF(AND(O$4&gt;=$D21,O$4&lt;=$E21),1,"")</f>
      </c>
      <c r="P21" s="27">
        <f>IF(AND(P$4&gt;=$D21,P$4&lt;=$E21),1,"")</f>
      </c>
      <c r="Q21" s="27">
        <f>IF(AND(Q$4&gt;=$D21,Q$4&lt;=$E21),1,"")</f>
      </c>
      <c r="R21" s="27">
        <f>IF(AND(R$4&gt;=$D21,R$4&lt;=$E21),1,"")</f>
      </c>
      <c r="S21" s="27">
        <f>IF(AND(S$4&gt;=$D21,S$4&lt;=$E21),1,"")</f>
      </c>
      <c r="T21" s="27">
        <f>IF(AND(T$4&gt;=$D21,T$4&lt;=$E21),1,"")</f>
      </c>
      <c r="U21" s="27">
        <f>IF(AND(U$4&gt;=$D21,U$4&lt;=$E21),1,"")</f>
      </c>
      <c r="V21" s="27">
        <f>IF(AND(V$4&gt;=$D21,V$4&lt;=$E21),1,"")</f>
      </c>
      <c r="W21" s="27">
        <f>IF(AND(W$4&gt;=$D21,W$4&lt;=$E21),1,"")</f>
      </c>
      <c r="X21" s="27">
        <f>IF(AND(X$4&gt;=$D21,X$4&lt;=$E21),1,"")</f>
      </c>
      <c r="Y21" s="27">
        <f>IF(AND(Y$4&gt;=$D21,Y$4&lt;=$E21),1,"")</f>
      </c>
      <c r="Z21" s="27">
        <f>IF(AND(Z$4&gt;=$D21,Z$4&lt;=$E21),1,"")</f>
      </c>
      <c r="AA21" s="27">
        <f>IF(AND(AA$4&gt;=$D21,AA$4&lt;=$E21),1,"")</f>
      </c>
      <c r="AB21" s="27">
        <f>IF(AND(AB$4&gt;=$D21,AB$4&lt;=$E21),1,"")</f>
      </c>
      <c r="AC21" s="27">
        <f>IF(AND(AC$4&gt;=$D21,AC$4&lt;=$E21),1,"")</f>
      </c>
      <c r="AD21" s="27">
        <f>IF(AND(AD$4&gt;=$D21,AD$4&lt;=$E21),1,"")</f>
      </c>
      <c r="AE21" s="27">
        <f>IF(AND(AE$4&gt;=$D21,AE$4&lt;=$E21),1,"")</f>
      </c>
      <c r="AF21" s="27">
        <f>IF(AND(AF$4&gt;=$D21,AF$4&lt;=$E21),1,"")</f>
      </c>
      <c r="AG21" s="27">
        <f>IF(AND(AG$4&gt;=$D21,AG$4&lt;=$E21),1,"")</f>
      </c>
      <c r="AH21" s="27">
        <f>IF(AND(AH$4&gt;=$D21,AH$4&lt;=$E21),1,"")</f>
      </c>
      <c r="AI21" s="27">
        <f>IF(AND(AI$4&gt;=$D21,AI$4&lt;=$E21),1,"")</f>
      </c>
      <c r="AJ21" s="27">
        <f>IF(AND(AJ$4&gt;=$D21,AJ$4&lt;=$E21),1,"")</f>
      </c>
      <c r="AK21" s="27">
        <f>IF(AND(AK$4&gt;=$D21,AK$4&lt;=$E21),1,"")</f>
      </c>
      <c r="AL21" s="27">
        <f>IF(AND(AL$4&gt;=$D21,AL$4&lt;=$E21),1,"")</f>
      </c>
      <c r="AM21" s="27">
        <f>IF(AND(AM$4&gt;=$D21,AM$4&lt;=$E21),1,"")</f>
      </c>
      <c r="AN21" s="27">
        <f>IF(AND(AN$4&gt;=$D21,AN$4&lt;=$E21),1,"")</f>
      </c>
      <c r="AO21" s="27">
        <f>IF(AND(AO$4&gt;=$D21,AO$4&lt;=$E21),1,"")</f>
      </c>
      <c r="AP21" s="27">
        <f>IF(AND(AP$4&gt;=$D21,AP$4&lt;=$E21),1,"")</f>
      </c>
      <c r="AQ21" s="27">
        <f>IF(AND(AQ$4&gt;=$D21,AQ$4&lt;=$E21),1,"")</f>
      </c>
      <c r="AR21" s="27">
        <f>IF(AND(AR$4&gt;=$D21,AR$4&lt;=$E21),1,"")</f>
      </c>
      <c r="AS21" s="27">
        <f>IF(AND(AS$4&gt;=$D21,AS$4&lt;=$E21),1,"")</f>
      </c>
    </row>
    <row r="22">
      <c r="A22" t="inlineStr">
        <is>
          <t>NOVA-R18</t>
        </is>
      </c>
      <c r="B22" t="inlineStr">
        <is>
          <t xml:space="preserve">LOT 5</t>
        </is>
      </c>
      <c r="C22" t="inlineStr">
        <is>
          <t xml:space="preserve">Revalider l'intégration certifiée Runtime en chemin non-test</t>
        </is>
      </c>
      <c r="D22" s="26">
        <f>Roadmap!I22</f>
      </c>
      <c r="E22" s="26">
        <f>Roadmap!K22</f>
      </c>
      <c r="F22">
        <f>Roadmap!G22</f>
      </c>
      <c r="G22" s="27">
        <f>IF(AND(G$4&gt;=$D22,G$4&lt;=$E22),1,"")</f>
      </c>
      <c r="H22" s="27">
        <f>IF(AND(H$4&gt;=$D22,H$4&lt;=$E22),1,"")</f>
      </c>
      <c r="I22" s="27">
        <f>IF(AND(I$4&gt;=$D22,I$4&lt;=$E22),1,"")</f>
      </c>
      <c r="J22" s="27">
        <f>IF(AND(J$4&gt;=$D22,J$4&lt;=$E22),1,"")</f>
      </c>
      <c r="K22" s="27">
        <f>IF(AND(K$4&gt;=$D22,K$4&lt;=$E22),1,"")</f>
      </c>
      <c r="L22" s="27">
        <f>IF(AND(L$4&gt;=$D22,L$4&lt;=$E22),1,"")</f>
      </c>
      <c r="M22" s="27">
        <f>IF(AND(M$4&gt;=$D22,M$4&lt;=$E22),1,"")</f>
      </c>
      <c r="N22" s="27">
        <f>IF(AND(N$4&gt;=$D22,N$4&lt;=$E22),1,"")</f>
      </c>
      <c r="O22" s="27">
        <f>IF(AND(O$4&gt;=$D22,O$4&lt;=$E22),1,"")</f>
      </c>
      <c r="P22" s="27">
        <f>IF(AND(P$4&gt;=$D22,P$4&lt;=$E22),1,"")</f>
      </c>
      <c r="Q22" s="27">
        <f>IF(AND(Q$4&gt;=$D22,Q$4&lt;=$E22),1,"")</f>
      </c>
      <c r="R22" s="27">
        <f>IF(AND(R$4&gt;=$D22,R$4&lt;=$E22),1,"")</f>
      </c>
      <c r="S22" s="27">
        <f>IF(AND(S$4&gt;=$D22,S$4&lt;=$E22),1,"")</f>
      </c>
      <c r="T22" s="27">
        <f>IF(AND(T$4&gt;=$D22,T$4&lt;=$E22),1,"")</f>
      </c>
      <c r="U22" s="27">
        <f>IF(AND(U$4&gt;=$D22,U$4&lt;=$E22),1,"")</f>
      </c>
      <c r="V22" s="27">
        <f>IF(AND(V$4&gt;=$D22,V$4&lt;=$E22),1,"")</f>
      </c>
      <c r="W22" s="27">
        <f>IF(AND(W$4&gt;=$D22,W$4&lt;=$E22),1,"")</f>
      </c>
      <c r="X22" s="27">
        <f>IF(AND(X$4&gt;=$D22,X$4&lt;=$E22),1,"")</f>
      </c>
      <c r="Y22" s="27">
        <f>IF(AND(Y$4&gt;=$D22,Y$4&lt;=$E22),1,"")</f>
      </c>
      <c r="Z22" s="27">
        <f>IF(AND(Z$4&gt;=$D22,Z$4&lt;=$E22),1,"")</f>
      </c>
      <c r="AA22" s="27">
        <f>IF(AND(AA$4&gt;=$D22,AA$4&lt;=$E22),1,"")</f>
      </c>
      <c r="AB22" s="27">
        <f>IF(AND(AB$4&gt;=$D22,AB$4&lt;=$E22),1,"")</f>
      </c>
      <c r="AC22" s="27">
        <f>IF(AND(AC$4&gt;=$D22,AC$4&lt;=$E22),1,"")</f>
      </c>
      <c r="AD22" s="27">
        <f>IF(AND(AD$4&gt;=$D22,AD$4&lt;=$E22),1,"")</f>
      </c>
      <c r="AE22" s="27">
        <f>IF(AND(AE$4&gt;=$D22,AE$4&lt;=$E22),1,"")</f>
      </c>
      <c r="AF22" s="27">
        <f>IF(AND(AF$4&gt;=$D22,AF$4&lt;=$E22),1,"")</f>
      </c>
      <c r="AG22" s="27">
        <f>IF(AND(AG$4&gt;=$D22,AG$4&lt;=$E22),1,"")</f>
      </c>
      <c r="AH22" s="27">
        <f>IF(AND(AH$4&gt;=$D22,AH$4&lt;=$E22),1,"")</f>
      </c>
      <c r="AI22" s="27">
        <f>IF(AND(AI$4&gt;=$D22,AI$4&lt;=$E22),1,"")</f>
      </c>
      <c r="AJ22" s="27">
        <f>IF(AND(AJ$4&gt;=$D22,AJ$4&lt;=$E22),1,"")</f>
      </c>
      <c r="AK22" s="27">
        <f>IF(AND(AK$4&gt;=$D22,AK$4&lt;=$E22),1,"")</f>
      </c>
      <c r="AL22" s="27">
        <f>IF(AND(AL$4&gt;=$D22,AL$4&lt;=$E22),1,"")</f>
      </c>
      <c r="AM22" s="27">
        <f>IF(AND(AM$4&gt;=$D22,AM$4&lt;=$E22),1,"")</f>
      </c>
      <c r="AN22" s="27">
        <f>IF(AND(AN$4&gt;=$D22,AN$4&lt;=$E22),1,"")</f>
      </c>
      <c r="AO22" s="27">
        <f>IF(AND(AO$4&gt;=$D22,AO$4&lt;=$E22),1,"")</f>
      </c>
      <c r="AP22" s="27">
        <f>IF(AND(AP$4&gt;=$D22,AP$4&lt;=$E22),1,"")</f>
      </c>
      <c r="AQ22" s="27">
        <f>IF(AND(AQ$4&gt;=$D22,AQ$4&lt;=$E22),1,"")</f>
      </c>
      <c r="AR22" s="27">
        <f>IF(AND(AR$4&gt;=$D22,AR$4&lt;=$E22),1,"")</f>
      </c>
      <c r="AS22" s="27">
        <f>IF(AND(AS$4&gt;=$D22,AS$4&lt;=$E22),1,"")</f>
      </c>
    </row>
    <row r="23">
      <c r="A23" t="inlineStr">
        <is>
          <t>NOVA-R19</t>
        </is>
      </c>
      <c r="B23" t="inlineStr">
        <is>
          <t xml:space="preserve">LOT 5</t>
        </is>
      </c>
      <c r="C23" t="inlineStr">
        <is>
          <t xml:space="preserve">Revalider la provenance Git et l'empreinte du worktree</t>
        </is>
      </c>
      <c r="D23" s="26">
        <f>Roadmap!I23</f>
      </c>
      <c r="E23" s="26">
        <f>Roadmap!K23</f>
      </c>
      <c r="F23">
        <f>Roadmap!G23</f>
      </c>
      <c r="G23" s="27">
        <f>IF(AND(G$4&gt;=$D23,G$4&lt;=$E23),1,"")</f>
      </c>
      <c r="H23" s="27">
        <f>IF(AND(H$4&gt;=$D23,H$4&lt;=$E23),1,"")</f>
      </c>
      <c r="I23" s="27">
        <f>IF(AND(I$4&gt;=$D23,I$4&lt;=$E23),1,"")</f>
      </c>
      <c r="J23" s="27">
        <f>IF(AND(J$4&gt;=$D23,J$4&lt;=$E23),1,"")</f>
      </c>
      <c r="K23" s="27">
        <f>IF(AND(K$4&gt;=$D23,K$4&lt;=$E23),1,"")</f>
      </c>
      <c r="L23" s="27">
        <f>IF(AND(L$4&gt;=$D23,L$4&lt;=$E23),1,"")</f>
      </c>
      <c r="M23" s="27">
        <f>IF(AND(M$4&gt;=$D23,M$4&lt;=$E23),1,"")</f>
      </c>
      <c r="N23" s="27">
        <f>IF(AND(N$4&gt;=$D23,N$4&lt;=$E23),1,"")</f>
      </c>
      <c r="O23" s="27">
        <f>IF(AND(O$4&gt;=$D23,O$4&lt;=$E23),1,"")</f>
      </c>
      <c r="P23" s="27">
        <f>IF(AND(P$4&gt;=$D23,P$4&lt;=$E23),1,"")</f>
      </c>
      <c r="Q23" s="27">
        <f>IF(AND(Q$4&gt;=$D23,Q$4&lt;=$E23),1,"")</f>
      </c>
      <c r="R23" s="27">
        <f>IF(AND(R$4&gt;=$D23,R$4&lt;=$E23),1,"")</f>
      </c>
      <c r="S23" s="27">
        <f>IF(AND(S$4&gt;=$D23,S$4&lt;=$E23),1,"")</f>
      </c>
      <c r="T23" s="27">
        <f>IF(AND(T$4&gt;=$D23,T$4&lt;=$E23),1,"")</f>
      </c>
      <c r="U23" s="27">
        <f>IF(AND(U$4&gt;=$D23,U$4&lt;=$E23),1,"")</f>
      </c>
      <c r="V23" s="27">
        <f>IF(AND(V$4&gt;=$D23,V$4&lt;=$E23),1,"")</f>
      </c>
      <c r="W23" s="27">
        <f>IF(AND(W$4&gt;=$D23,W$4&lt;=$E23),1,"")</f>
      </c>
      <c r="X23" s="27">
        <f>IF(AND(X$4&gt;=$D23,X$4&lt;=$E23),1,"")</f>
      </c>
      <c r="Y23" s="27">
        <f>IF(AND(Y$4&gt;=$D23,Y$4&lt;=$E23),1,"")</f>
      </c>
      <c r="Z23" s="27">
        <f>IF(AND(Z$4&gt;=$D23,Z$4&lt;=$E23),1,"")</f>
      </c>
      <c r="AA23" s="27">
        <f>IF(AND(AA$4&gt;=$D23,AA$4&lt;=$E23),1,"")</f>
      </c>
      <c r="AB23" s="27">
        <f>IF(AND(AB$4&gt;=$D23,AB$4&lt;=$E23),1,"")</f>
      </c>
      <c r="AC23" s="27">
        <f>IF(AND(AC$4&gt;=$D23,AC$4&lt;=$E23),1,"")</f>
      </c>
      <c r="AD23" s="27">
        <f>IF(AND(AD$4&gt;=$D23,AD$4&lt;=$E23),1,"")</f>
      </c>
      <c r="AE23" s="27">
        <f>IF(AND(AE$4&gt;=$D23,AE$4&lt;=$E23),1,"")</f>
      </c>
      <c r="AF23" s="27">
        <f>IF(AND(AF$4&gt;=$D23,AF$4&lt;=$E23),1,"")</f>
      </c>
      <c r="AG23" s="27">
        <f>IF(AND(AG$4&gt;=$D23,AG$4&lt;=$E23),1,"")</f>
      </c>
      <c r="AH23" s="27">
        <f>IF(AND(AH$4&gt;=$D23,AH$4&lt;=$E23),1,"")</f>
      </c>
      <c r="AI23" s="27">
        <f>IF(AND(AI$4&gt;=$D23,AI$4&lt;=$E23),1,"")</f>
      </c>
      <c r="AJ23" s="27">
        <f>IF(AND(AJ$4&gt;=$D23,AJ$4&lt;=$E23),1,"")</f>
      </c>
      <c r="AK23" s="27">
        <f>IF(AND(AK$4&gt;=$D23,AK$4&lt;=$E23),1,"")</f>
      </c>
      <c r="AL23" s="27">
        <f>IF(AND(AL$4&gt;=$D23,AL$4&lt;=$E23),1,"")</f>
      </c>
      <c r="AM23" s="27">
        <f>IF(AND(AM$4&gt;=$D23,AM$4&lt;=$E23),1,"")</f>
      </c>
      <c r="AN23" s="27">
        <f>IF(AND(AN$4&gt;=$D23,AN$4&lt;=$E23),1,"")</f>
      </c>
      <c r="AO23" s="27">
        <f>IF(AND(AO$4&gt;=$D23,AO$4&lt;=$E23),1,"")</f>
      </c>
      <c r="AP23" s="27">
        <f>IF(AND(AP$4&gt;=$D23,AP$4&lt;=$E23),1,"")</f>
      </c>
      <c r="AQ23" s="27">
        <f>IF(AND(AQ$4&gt;=$D23,AQ$4&lt;=$E23),1,"")</f>
      </c>
      <c r="AR23" s="27">
        <f>IF(AND(AR$4&gt;=$D23,AR$4&lt;=$E23),1,"")</f>
      </c>
      <c r="AS23" s="27">
        <f>IF(AND(AS$4&gt;=$D23,AS$4&lt;=$E23),1,"")</f>
      </c>
    </row>
    <row r="24">
      <c r="A24" t="inlineStr">
        <is>
          <t>NOVA-R20</t>
        </is>
      </c>
      <c r="B24" t="inlineStr">
        <is>
          <t xml:space="preserve">LOT 6</t>
        </is>
      </c>
      <c r="C24" t="inlineStr">
        <is>
          <t xml:space="preserve">Prouver Home → Work → Activity/Plan/People/Sources/Decisions/Deliverables</t>
        </is>
      </c>
      <c r="D24" s="26">
        <f>Roadmap!I24</f>
      </c>
      <c r="E24" s="26">
        <f>Roadmap!K24</f>
      </c>
      <c r="F24">
        <f>Roadmap!G24</f>
      </c>
      <c r="G24" s="27">
        <f>IF(AND(G$4&gt;=$D24,G$4&lt;=$E24),1,"")</f>
      </c>
      <c r="H24" s="27">
        <f>IF(AND(H$4&gt;=$D24,H$4&lt;=$E24),1,"")</f>
      </c>
      <c r="I24" s="27">
        <f>IF(AND(I$4&gt;=$D24,I$4&lt;=$E24),1,"")</f>
      </c>
      <c r="J24" s="27">
        <f>IF(AND(J$4&gt;=$D24,J$4&lt;=$E24),1,"")</f>
      </c>
      <c r="K24" s="27">
        <f>IF(AND(K$4&gt;=$D24,K$4&lt;=$E24),1,"")</f>
      </c>
      <c r="L24" s="27">
        <f>IF(AND(L$4&gt;=$D24,L$4&lt;=$E24),1,"")</f>
      </c>
      <c r="M24" s="27">
        <f>IF(AND(M$4&gt;=$D24,M$4&lt;=$E24),1,"")</f>
      </c>
      <c r="N24" s="27">
        <f>IF(AND(N$4&gt;=$D24,N$4&lt;=$E24),1,"")</f>
      </c>
      <c r="O24" s="27">
        <f>IF(AND(O$4&gt;=$D24,O$4&lt;=$E24),1,"")</f>
      </c>
      <c r="P24" s="27">
        <f>IF(AND(P$4&gt;=$D24,P$4&lt;=$E24),1,"")</f>
      </c>
      <c r="Q24" s="27">
        <f>IF(AND(Q$4&gt;=$D24,Q$4&lt;=$E24),1,"")</f>
      </c>
      <c r="R24" s="27">
        <f>IF(AND(R$4&gt;=$D24,R$4&lt;=$E24),1,"")</f>
      </c>
      <c r="S24" s="27">
        <f>IF(AND(S$4&gt;=$D24,S$4&lt;=$E24),1,"")</f>
      </c>
      <c r="T24" s="27">
        <f>IF(AND(T$4&gt;=$D24,T$4&lt;=$E24),1,"")</f>
      </c>
      <c r="U24" s="27">
        <f>IF(AND(U$4&gt;=$D24,U$4&lt;=$E24),1,"")</f>
      </c>
      <c r="V24" s="27">
        <f>IF(AND(V$4&gt;=$D24,V$4&lt;=$E24),1,"")</f>
      </c>
      <c r="W24" s="27">
        <f>IF(AND(W$4&gt;=$D24,W$4&lt;=$E24),1,"")</f>
      </c>
      <c r="X24" s="27">
        <f>IF(AND(X$4&gt;=$D24,X$4&lt;=$E24),1,"")</f>
      </c>
      <c r="Y24" s="27">
        <f>IF(AND(Y$4&gt;=$D24,Y$4&lt;=$E24),1,"")</f>
      </c>
      <c r="Z24" s="27">
        <f>IF(AND(Z$4&gt;=$D24,Z$4&lt;=$E24),1,"")</f>
      </c>
      <c r="AA24" s="27">
        <f>IF(AND(AA$4&gt;=$D24,AA$4&lt;=$E24),1,"")</f>
      </c>
      <c r="AB24" s="27">
        <f>IF(AND(AB$4&gt;=$D24,AB$4&lt;=$E24),1,"")</f>
      </c>
      <c r="AC24" s="27">
        <f>IF(AND(AC$4&gt;=$D24,AC$4&lt;=$E24),1,"")</f>
      </c>
      <c r="AD24" s="27">
        <f>IF(AND(AD$4&gt;=$D24,AD$4&lt;=$E24),1,"")</f>
      </c>
      <c r="AE24" s="27">
        <f>IF(AND(AE$4&gt;=$D24,AE$4&lt;=$E24),1,"")</f>
      </c>
      <c r="AF24" s="27">
        <f>IF(AND(AF$4&gt;=$D24,AF$4&lt;=$E24),1,"")</f>
      </c>
      <c r="AG24" s="27">
        <f>IF(AND(AG$4&gt;=$D24,AG$4&lt;=$E24),1,"")</f>
      </c>
      <c r="AH24" s="27">
        <f>IF(AND(AH$4&gt;=$D24,AH$4&lt;=$E24),1,"")</f>
      </c>
      <c r="AI24" s="27">
        <f>IF(AND(AI$4&gt;=$D24,AI$4&lt;=$E24),1,"")</f>
      </c>
      <c r="AJ24" s="27">
        <f>IF(AND(AJ$4&gt;=$D24,AJ$4&lt;=$E24),1,"")</f>
      </c>
      <c r="AK24" s="27">
        <f>IF(AND(AK$4&gt;=$D24,AK$4&lt;=$E24),1,"")</f>
      </c>
      <c r="AL24" s="27">
        <f>IF(AND(AL$4&gt;=$D24,AL$4&lt;=$E24),1,"")</f>
      </c>
      <c r="AM24" s="27">
        <f>IF(AND(AM$4&gt;=$D24,AM$4&lt;=$E24),1,"")</f>
      </c>
      <c r="AN24" s="27">
        <f>IF(AND(AN$4&gt;=$D24,AN$4&lt;=$E24),1,"")</f>
      </c>
      <c r="AO24" s="27">
        <f>IF(AND(AO$4&gt;=$D24,AO$4&lt;=$E24),1,"")</f>
      </c>
      <c r="AP24" s="27">
        <f>IF(AND(AP$4&gt;=$D24,AP$4&lt;=$E24),1,"")</f>
      </c>
      <c r="AQ24" s="27">
        <f>IF(AND(AQ$4&gt;=$D24,AQ$4&lt;=$E24),1,"")</f>
      </c>
      <c r="AR24" s="27">
        <f>IF(AND(AR$4&gt;=$D24,AR$4&lt;=$E24),1,"")</f>
      </c>
      <c r="AS24" s="27">
        <f>IF(AND(AS$4&gt;=$D24,AS$4&lt;=$E24),1,"")</f>
      </c>
    </row>
    <row r="25">
      <c r="A25" t="inlineStr">
        <is>
          <t>NOVA-R21</t>
        </is>
      </c>
      <c r="B25" t="inlineStr">
        <is>
          <t xml:space="preserve">LOT 6</t>
        </is>
      </c>
      <c r="C25" t="inlineStr">
        <is>
          <t xml:space="preserve">Prouver création et exécution d'un Work avec données persistées</t>
        </is>
      </c>
      <c r="D25" s="26">
        <f>Roadmap!I25</f>
      </c>
      <c r="E25" s="26">
        <f>Roadmap!K25</f>
      </c>
      <c r="F25">
        <f>Roadmap!G25</f>
      </c>
      <c r="G25" s="27">
        <f>IF(AND(G$4&gt;=$D25,G$4&lt;=$E25),1,"")</f>
      </c>
      <c r="H25" s="27">
        <f>IF(AND(H$4&gt;=$D25,H$4&lt;=$E25),1,"")</f>
      </c>
      <c r="I25" s="27">
        <f>IF(AND(I$4&gt;=$D25,I$4&lt;=$E25),1,"")</f>
      </c>
      <c r="J25" s="27">
        <f>IF(AND(J$4&gt;=$D25,J$4&lt;=$E25),1,"")</f>
      </c>
      <c r="K25" s="27">
        <f>IF(AND(K$4&gt;=$D25,K$4&lt;=$E25),1,"")</f>
      </c>
      <c r="L25" s="27">
        <f>IF(AND(L$4&gt;=$D25,L$4&lt;=$E25),1,"")</f>
      </c>
      <c r="M25" s="27">
        <f>IF(AND(M$4&gt;=$D25,M$4&lt;=$E25),1,"")</f>
      </c>
      <c r="N25" s="27">
        <f>IF(AND(N$4&gt;=$D25,N$4&lt;=$E25),1,"")</f>
      </c>
      <c r="O25" s="27">
        <f>IF(AND(O$4&gt;=$D25,O$4&lt;=$E25),1,"")</f>
      </c>
      <c r="P25" s="27">
        <f>IF(AND(P$4&gt;=$D25,P$4&lt;=$E25),1,"")</f>
      </c>
      <c r="Q25" s="27">
        <f>IF(AND(Q$4&gt;=$D25,Q$4&lt;=$E25),1,"")</f>
      </c>
      <c r="R25" s="27">
        <f>IF(AND(R$4&gt;=$D25,R$4&lt;=$E25),1,"")</f>
      </c>
      <c r="S25" s="27">
        <f>IF(AND(S$4&gt;=$D25,S$4&lt;=$E25),1,"")</f>
      </c>
      <c r="T25" s="27">
        <f>IF(AND(T$4&gt;=$D25,T$4&lt;=$E25),1,"")</f>
      </c>
      <c r="U25" s="27">
        <f>IF(AND(U$4&gt;=$D25,U$4&lt;=$E25),1,"")</f>
      </c>
      <c r="V25" s="27">
        <f>IF(AND(V$4&gt;=$D25,V$4&lt;=$E25),1,"")</f>
      </c>
      <c r="W25" s="27">
        <f>IF(AND(W$4&gt;=$D25,W$4&lt;=$E25),1,"")</f>
      </c>
      <c r="X25" s="27">
        <f>IF(AND(X$4&gt;=$D25,X$4&lt;=$E25),1,"")</f>
      </c>
      <c r="Y25" s="27">
        <f>IF(AND(Y$4&gt;=$D25,Y$4&lt;=$E25),1,"")</f>
      </c>
      <c r="Z25" s="27">
        <f>IF(AND(Z$4&gt;=$D25,Z$4&lt;=$E25),1,"")</f>
      </c>
      <c r="AA25" s="27">
        <f>IF(AND(AA$4&gt;=$D25,AA$4&lt;=$E25),1,"")</f>
      </c>
      <c r="AB25" s="27">
        <f>IF(AND(AB$4&gt;=$D25,AB$4&lt;=$E25),1,"")</f>
      </c>
      <c r="AC25" s="27">
        <f>IF(AND(AC$4&gt;=$D25,AC$4&lt;=$E25),1,"")</f>
      </c>
      <c r="AD25" s="27">
        <f>IF(AND(AD$4&gt;=$D25,AD$4&lt;=$E25),1,"")</f>
      </c>
      <c r="AE25" s="27">
        <f>IF(AND(AE$4&gt;=$D25,AE$4&lt;=$E25),1,"")</f>
      </c>
      <c r="AF25" s="27">
        <f>IF(AND(AF$4&gt;=$D25,AF$4&lt;=$E25),1,"")</f>
      </c>
      <c r="AG25" s="27">
        <f>IF(AND(AG$4&gt;=$D25,AG$4&lt;=$E25),1,"")</f>
      </c>
      <c r="AH25" s="27">
        <f>IF(AND(AH$4&gt;=$D25,AH$4&lt;=$E25),1,"")</f>
      </c>
      <c r="AI25" s="27">
        <f>IF(AND(AI$4&gt;=$D25,AI$4&lt;=$E25),1,"")</f>
      </c>
      <c r="AJ25" s="27">
        <f>IF(AND(AJ$4&gt;=$D25,AJ$4&lt;=$E25),1,"")</f>
      </c>
      <c r="AK25" s="27">
        <f>IF(AND(AK$4&gt;=$D25,AK$4&lt;=$E25),1,"")</f>
      </c>
      <c r="AL25" s="27">
        <f>IF(AND(AL$4&gt;=$D25,AL$4&lt;=$E25),1,"")</f>
      </c>
      <c r="AM25" s="27">
        <f>IF(AND(AM$4&gt;=$D25,AM$4&lt;=$E25),1,"")</f>
      </c>
      <c r="AN25" s="27">
        <f>IF(AND(AN$4&gt;=$D25,AN$4&lt;=$E25),1,"")</f>
      </c>
      <c r="AO25" s="27">
        <f>IF(AND(AO$4&gt;=$D25,AO$4&lt;=$E25),1,"")</f>
      </c>
      <c r="AP25" s="27">
        <f>IF(AND(AP$4&gt;=$D25,AP$4&lt;=$E25),1,"")</f>
      </c>
      <c r="AQ25" s="27">
        <f>IF(AND(AQ$4&gt;=$D25,AQ$4&lt;=$E25),1,"")</f>
      </c>
      <c r="AR25" s="27">
        <f>IF(AND(AR$4&gt;=$D25,AR$4&lt;=$E25),1,"")</f>
      </c>
      <c r="AS25" s="27">
        <f>IF(AND(AS$4&gt;=$D25,AS$4&lt;=$E25),1,"")</f>
      </c>
    </row>
    <row r="26">
      <c r="A26" t="inlineStr">
        <is>
          <t>NOVA-R22</t>
        </is>
      </c>
      <c r="B26" t="inlineStr">
        <is>
          <t xml:space="preserve">LOT 6</t>
        </is>
      </c>
      <c r="C26" t="inlineStr">
        <is>
          <t xml:space="preserve">Tests de non-régression Front + BFF + Core + Runtime</t>
        </is>
      </c>
      <c r="D26" s="26">
        <f>Roadmap!I26</f>
      </c>
      <c r="E26" s="26">
        <f>Roadmap!K26</f>
      </c>
      <c r="F26">
        <f>Roadmap!G26</f>
      </c>
      <c r="G26" s="27">
        <f>IF(AND(G$4&gt;=$D26,G$4&lt;=$E26),1,"")</f>
      </c>
      <c r="H26" s="27">
        <f>IF(AND(H$4&gt;=$D26,H$4&lt;=$E26),1,"")</f>
      </c>
      <c r="I26" s="27">
        <f>IF(AND(I$4&gt;=$D26,I$4&lt;=$E26),1,"")</f>
      </c>
      <c r="J26" s="27">
        <f>IF(AND(J$4&gt;=$D26,J$4&lt;=$E26),1,"")</f>
      </c>
      <c r="K26" s="27">
        <f>IF(AND(K$4&gt;=$D26,K$4&lt;=$E26),1,"")</f>
      </c>
      <c r="L26" s="27">
        <f>IF(AND(L$4&gt;=$D26,L$4&lt;=$E26),1,"")</f>
      </c>
      <c r="M26" s="27">
        <f>IF(AND(M$4&gt;=$D26,M$4&lt;=$E26),1,"")</f>
      </c>
      <c r="N26" s="27">
        <f>IF(AND(N$4&gt;=$D26,N$4&lt;=$E26),1,"")</f>
      </c>
      <c r="O26" s="27">
        <f>IF(AND(O$4&gt;=$D26,O$4&lt;=$E26),1,"")</f>
      </c>
      <c r="P26" s="27">
        <f>IF(AND(P$4&gt;=$D26,P$4&lt;=$E26),1,"")</f>
      </c>
      <c r="Q26" s="27">
        <f>IF(AND(Q$4&gt;=$D26,Q$4&lt;=$E26),1,"")</f>
      </c>
      <c r="R26" s="27">
        <f>IF(AND(R$4&gt;=$D26,R$4&lt;=$E26),1,"")</f>
      </c>
      <c r="S26" s="27">
        <f>IF(AND(S$4&gt;=$D26,S$4&lt;=$E26),1,"")</f>
      </c>
      <c r="T26" s="27">
        <f>IF(AND(T$4&gt;=$D26,T$4&lt;=$E26),1,"")</f>
      </c>
      <c r="U26" s="27">
        <f>IF(AND(U$4&gt;=$D26,U$4&lt;=$E26),1,"")</f>
      </c>
      <c r="V26" s="27">
        <f>IF(AND(V$4&gt;=$D26,V$4&lt;=$E26),1,"")</f>
      </c>
      <c r="W26" s="27">
        <f>IF(AND(W$4&gt;=$D26,W$4&lt;=$E26),1,"")</f>
      </c>
      <c r="X26" s="27">
        <f>IF(AND(X$4&gt;=$D26,X$4&lt;=$E26),1,"")</f>
      </c>
      <c r="Y26" s="27">
        <f>IF(AND(Y$4&gt;=$D26,Y$4&lt;=$E26),1,"")</f>
      </c>
      <c r="Z26" s="27">
        <f>IF(AND(Z$4&gt;=$D26,Z$4&lt;=$E26),1,"")</f>
      </c>
      <c r="AA26" s="27">
        <f>IF(AND(AA$4&gt;=$D26,AA$4&lt;=$E26),1,"")</f>
      </c>
      <c r="AB26" s="27">
        <f>IF(AND(AB$4&gt;=$D26,AB$4&lt;=$E26),1,"")</f>
      </c>
      <c r="AC26" s="27">
        <f>IF(AND(AC$4&gt;=$D26,AC$4&lt;=$E26),1,"")</f>
      </c>
      <c r="AD26" s="27">
        <f>IF(AND(AD$4&gt;=$D26,AD$4&lt;=$E26),1,"")</f>
      </c>
      <c r="AE26" s="27">
        <f>IF(AND(AE$4&gt;=$D26,AE$4&lt;=$E26),1,"")</f>
      </c>
      <c r="AF26" s="27">
        <f>IF(AND(AF$4&gt;=$D26,AF$4&lt;=$E26),1,"")</f>
      </c>
      <c r="AG26" s="27">
        <f>IF(AND(AG$4&gt;=$D26,AG$4&lt;=$E26),1,"")</f>
      </c>
      <c r="AH26" s="27">
        <f>IF(AND(AH$4&gt;=$D26,AH$4&lt;=$E26),1,"")</f>
      </c>
      <c r="AI26" s="27">
        <f>IF(AND(AI$4&gt;=$D26,AI$4&lt;=$E26),1,"")</f>
      </c>
      <c r="AJ26" s="27">
        <f>IF(AND(AJ$4&gt;=$D26,AJ$4&lt;=$E26),1,"")</f>
      </c>
      <c r="AK26" s="27">
        <f>IF(AND(AK$4&gt;=$D26,AK$4&lt;=$E26),1,"")</f>
      </c>
      <c r="AL26" s="27">
        <f>IF(AND(AL$4&gt;=$D26,AL$4&lt;=$E26),1,"")</f>
      </c>
      <c r="AM26" s="27">
        <f>IF(AND(AM$4&gt;=$D26,AM$4&lt;=$E26),1,"")</f>
      </c>
      <c r="AN26" s="27">
        <f>IF(AND(AN$4&gt;=$D26,AN$4&lt;=$E26),1,"")</f>
      </c>
      <c r="AO26" s="27">
        <f>IF(AND(AO$4&gt;=$D26,AO$4&lt;=$E26),1,"")</f>
      </c>
      <c r="AP26" s="27">
        <f>IF(AND(AP$4&gt;=$D26,AP$4&lt;=$E26),1,"")</f>
      </c>
      <c r="AQ26" s="27">
        <f>IF(AND(AQ$4&gt;=$D26,AQ$4&lt;=$E26),1,"")</f>
      </c>
      <c r="AR26" s="27">
        <f>IF(AND(AR$4&gt;=$D26,AR$4&lt;=$E26),1,"")</f>
      </c>
      <c r="AS26" s="27">
        <f>IF(AND(AS$4&gt;=$D26,AS$4&lt;=$E26),1,"")</f>
      </c>
    </row>
    <row r="27">
      <c r="A27" t="inlineStr">
        <is>
          <t>NOVA-R23</t>
        </is>
      </c>
      <c r="B27" t="inlineStr">
        <is>
          <t xml:space="preserve">LOT 7</t>
        </is>
      </c>
      <c r="C27" t="inlineStr">
        <is>
          <t xml:space="preserve">Audit responsive, accessibilité et états erreur/chargement</t>
        </is>
      </c>
      <c r="D27" s="26">
        <f>Roadmap!I27</f>
      </c>
      <c r="E27" s="26">
        <f>Roadmap!K27</f>
      </c>
      <c r="F27">
        <f>Roadmap!G27</f>
      </c>
      <c r="G27" s="27">
        <f>IF(AND(G$4&gt;=$D27,G$4&lt;=$E27),1,"")</f>
      </c>
      <c r="H27" s="27">
        <f>IF(AND(H$4&gt;=$D27,H$4&lt;=$E27),1,"")</f>
      </c>
      <c r="I27" s="27">
        <f>IF(AND(I$4&gt;=$D27,I$4&lt;=$E27),1,"")</f>
      </c>
      <c r="J27" s="27">
        <f>IF(AND(J$4&gt;=$D27,J$4&lt;=$E27),1,"")</f>
      </c>
      <c r="K27" s="27">
        <f>IF(AND(K$4&gt;=$D27,K$4&lt;=$E27),1,"")</f>
      </c>
      <c r="L27" s="27">
        <f>IF(AND(L$4&gt;=$D27,L$4&lt;=$E27),1,"")</f>
      </c>
      <c r="M27" s="27">
        <f>IF(AND(M$4&gt;=$D27,M$4&lt;=$E27),1,"")</f>
      </c>
      <c r="N27" s="27">
        <f>IF(AND(N$4&gt;=$D27,N$4&lt;=$E27),1,"")</f>
      </c>
      <c r="O27" s="27">
        <f>IF(AND(O$4&gt;=$D27,O$4&lt;=$E27),1,"")</f>
      </c>
      <c r="P27" s="27">
        <f>IF(AND(P$4&gt;=$D27,P$4&lt;=$E27),1,"")</f>
      </c>
      <c r="Q27" s="27">
        <f>IF(AND(Q$4&gt;=$D27,Q$4&lt;=$E27),1,"")</f>
      </c>
      <c r="R27" s="27">
        <f>IF(AND(R$4&gt;=$D27,R$4&lt;=$E27),1,"")</f>
      </c>
      <c r="S27" s="27">
        <f>IF(AND(S$4&gt;=$D27,S$4&lt;=$E27),1,"")</f>
      </c>
      <c r="T27" s="27">
        <f>IF(AND(T$4&gt;=$D27,T$4&lt;=$E27),1,"")</f>
      </c>
      <c r="U27" s="27">
        <f>IF(AND(U$4&gt;=$D27,U$4&lt;=$E27),1,"")</f>
      </c>
      <c r="V27" s="27">
        <f>IF(AND(V$4&gt;=$D27,V$4&lt;=$E27),1,"")</f>
      </c>
      <c r="W27" s="27">
        <f>IF(AND(W$4&gt;=$D27,W$4&lt;=$E27),1,"")</f>
      </c>
      <c r="X27" s="27">
        <f>IF(AND(X$4&gt;=$D27,X$4&lt;=$E27),1,"")</f>
      </c>
      <c r="Y27" s="27">
        <f>IF(AND(Y$4&gt;=$D27,Y$4&lt;=$E27),1,"")</f>
      </c>
      <c r="Z27" s="27">
        <f>IF(AND(Z$4&gt;=$D27,Z$4&lt;=$E27),1,"")</f>
      </c>
      <c r="AA27" s="27">
        <f>IF(AND(AA$4&gt;=$D27,AA$4&lt;=$E27),1,"")</f>
      </c>
      <c r="AB27" s="27">
        <f>IF(AND(AB$4&gt;=$D27,AB$4&lt;=$E27),1,"")</f>
      </c>
      <c r="AC27" s="27">
        <f>IF(AND(AC$4&gt;=$D27,AC$4&lt;=$E27),1,"")</f>
      </c>
      <c r="AD27" s="27">
        <f>IF(AND(AD$4&gt;=$D27,AD$4&lt;=$E27),1,"")</f>
      </c>
      <c r="AE27" s="27">
        <f>IF(AND(AE$4&gt;=$D27,AE$4&lt;=$E27),1,"")</f>
      </c>
      <c r="AF27" s="27">
        <f>IF(AND(AF$4&gt;=$D27,AF$4&lt;=$E27),1,"")</f>
      </c>
      <c r="AG27" s="27">
        <f>IF(AND(AG$4&gt;=$D27,AG$4&lt;=$E27),1,"")</f>
      </c>
      <c r="AH27" s="27">
        <f>IF(AND(AH$4&gt;=$D27,AH$4&lt;=$E27),1,"")</f>
      </c>
      <c r="AI27" s="27">
        <f>IF(AND(AI$4&gt;=$D27,AI$4&lt;=$E27),1,"")</f>
      </c>
      <c r="AJ27" s="27">
        <f>IF(AND(AJ$4&gt;=$D27,AJ$4&lt;=$E27),1,"")</f>
      </c>
      <c r="AK27" s="27">
        <f>IF(AND(AK$4&gt;=$D27,AK$4&lt;=$E27),1,"")</f>
      </c>
      <c r="AL27" s="27">
        <f>IF(AND(AL$4&gt;=$D27,AL$4&lt;=$E27),1,"")</f>
      </c>
      <c r="AM27" s="27">
        <f>IF(AND(AM$4&gt;=$D27,AM$4&lt;=$E27),1,"")</f>
      </c>
      <c r="AN27" s="27">
        <f>IF(AND(AN$4&gt;=$D27,AN$4&lt;=$E27),1,"")</f>
      </c>
      <c r="AO27" s="27">
        <f>IF(AND(AO$4&gt;=$D27,AO$4&lt;=$E27),1,"")</f>
      </c>
      <c r="AP27" s="27">
        <f>IF(AND(AP$4&gt;=$D27,AP$4&lt;=$E27),1,"")</f>
      </c>
      <c r="AQ27" s="27">
        <f>IF(AND(AQ$4&gt;=$D27,AQ$4&lt;=$E27),1,"")</f>
      </c>
      <c r="AR27" s="27">
        <f>IF(AND(AR$4&gt;=$D27,AR$4&lt;=$E27),1,"")</f>
      </c>
      <c r="AS27" s="27">
        <f>IF(AND(AS$4&gt;=$D27,AS$4&lt;=$E27),1,"")</f>
      </c>
    </row>
    <row r="28">
      <c r="A28" t="inlineStr">
        <is>
          <t>NOVA-R24</t>
        </is>
      </c>
      <c r="B28" t="inlineStr">
        <is>
          <t xml:space="preserve">LOT 7</t>
        </is>
      </c>
      <c r="C28" t="inlineStr">
        <is>
          <t xml:space="preserve">Validation pixel-perfect des écrans prioritaires</t>
        </is>
      </c>
      <c r="D28" s="26">
        <f>Roadmap!I28</f>
      </c>
      <c r="E28" s="26">
        <f>Roadmap!K28</f>
      </c>
      <c r="F28">
        <f>Roadmap!G28</f>
      </c>
      <c r="G28" s="27">
        <f>IF(AND(G$4&gt;=$D28,G$4&lt;=$E28),1,"")</f>
      </c>
      <c r="H28" s="27">
        <f>IF(AND(H$4&gt;=$D28,H$4&lt;=$E28),1,"")</f>
      </c>
      <c r="I28" s="27">
        <f>IF(AND(I$4&gt;=$D28,I$4&lt;=$E28),1,"")</f>
      </c>
      <c r="J28" s="27">
        <f>IF(AND(J$4&gt;=$D28,J$4&lt;=$E28),1,"")</f>
      </c>
      <c r="K28" s="27">
        <f>IF(AND(K$4&gt;=$D28,K$4&lt;=$E28),1,"")</f>
      </c>
      <c r="L28" s="27">
        <f>IF(AND(L$4&gt;=$D28,L$4&lt;=$E28),1,"")</f>
      </c>
      <c r="M28" s="27">
        <f>IF(AND(M$4&gt;=$D28,M$4&lt;=$E28),1,"")</f>
      </c>
      <c r="N28" s="27">
        <f>IF(AND(N$4&gt;=$D28,N$4&lt;=$E28),1,"")</f>
      </c>
      <c r="O28" s="27">
        <f>IF(AND(O$4&gt;=$D28,O$4&lt;=$E28),1,"")</f>
      </c>
      <c r="P28" s="27">
        <f>IF(AND(P$4&gt;=$D28,P$4&lt;=$E28),1,"")</f>
      </c>
      <c r="Q28" s="27">
        <f>IF(AND(Q$4&gt;=$D28,Q$4&lt;=$E28),1,"")</f>
      </c>
      <c r="R28" s="27">
        <f>IF(AND(R$4&gt;=$D28,R$4&lt;=$E28),1,"")</f>
      </c>
      <c r="S28" s="27">
        <f>IF(AND(S$4&gt;=$D28,S$4&lt;=$E28),1,"")</f>
      </c>
      <c r="T28" s="27">
        <f>IF(AND(T$4&gt;=$D28,T$4&lt;=$E28),1,"")</f>
      </c>
      <c r="U28" s="27">
        <f>IF(AND(U$4&gt;=$D28,U$4&lt;=$E28),1,"")</f>
      </c>
      <c r="V28" s="27">
        <f>IF(AND(V$4&gt;=$D28,V$4&lt;=$E28),1,"")</f>
      </c>
      <c r="W28" s="27">
        <f>IF(AND(W$4&gt;=$D28,W$4&lt;=$E28),1,"")</f>
      </c>
      <c r="X28" s="27">
        <f>IF(AND(X$4&gt;=$D28,X$4&lt;=$E28),1,"")</f>
      </c>
      <c r="Y28" s="27">
        <f>IF(AND(Y$4&gt;=$D28,Y$4&lt;=$E28),1,"")</f>
      </c>
      <c r="Z28" s="27">
        <f>IF(AND(Z$4&gt;=$D28,Z$4&lt;=$E28),1,"")</f>
      </c>
      <c r="AA28" s="27">
        <f>IF(AND(AA$4&gt;=$D28,AA$4&lt;=$E28),1,"")</f>
      </c>
      <c r="AB28" s="27">
        <f>IF(AND(AB$4&gt;=$D28,AB$4&lt;=$E28),1,"")</f>
      </c>
      <c r="AC28" s="27">
        <f>IF(AND(AC$4&gt;=$D28,AC$4&lt;=$E28),1,"")</f>
      </c>
      <c r="AD28" s="27">
        <f>IF(AND(AD$4&gt;=$D28,AD$4&lt;=$E28),1,"")</f>
      </c>
      <c r="AE28" s="27">
        <f>IF(AND(AE$4&gt;=$D28,AE$4&lt;=$E28),1,"")</f>
      </c>
      <c r="AF28" s="27">
        <f>IF(AND(AF$4&gt;=$D28,AF$4&lt;=$E28),1,"")</f>
      </c>
      <c r="AG28" s="27">
        <f>IF(AND(AG$4&gt;=$D28,AG$4&lt;=$E28),1,"")</f>
      </c>
      <c r="AH28" s="27">
        <f>IF(AND(AH$4&gt;=$D28,AH$4&lt;=$E28),1,"")</f>
      </c>
      <c r="AI28" s="27">
        <f>IF(AND(AI$4&gt;=$D28,AI$4&lt;=$E28),1,"")</f>
      </c>
      <c r="AJ28" s="27">
        <f>IF(AND(AJ$4&gt;=$D28,AJ$4&lt;=$E28),1,"")</f>
      </c>
      <c r="AK28" s="27">
        <f>IF(AND(AK$4&gt;=$D28,AK$4&lt;=$E28),1,"")</f>
      </c>
      <c r="AL28" s="27">
        <f>IF(AND(AL$4&gt;=$D28,AL$4&lt;=$E28),1,"")</f>
      </c>
      <c r="AM28" s="27">
        <f>IF(AND(AM$4&gt;=$D28,AM$4&lt;=$E28),1,"")</f>
      </c>
      <c r="AN28" s="27">
        <f>IF(AND(AN$4&gt;=$D28,AN$4&lt;=$E28),1,"")</f>
      </c>
      <c r="AO28" s="27">
        <f>IF(AND(AO$4&gt;=$D28,AO$4&lt;=$E28),1,"")</f>
      </c>
      <c r="AP28" s="27">
        <f>IF(AND(AP$4&gt;=$D28,AP$4&lt;=$E28),1,"")</f>
      </c>
      <c r="AQ28" s="27">
        <f>IF(AND(AQ$4&gt;=$D28,AQ$4&lt;=$E28),1,"")</f>
      </c>
      <c r="AR28" s="27">
        <f>IF(AND(AR$4&gt;=$D28,AR$4&lt;=$E28),1,"")</f>
      </c>
      <c r="AS28" s="27">
        <f>IF(AND(AS$4&gt;=$D28,AS$4&lt;=$E28),1,"")</f>
      </c>
    </row>
    <row r="29">
      <c r="A29" t="inlineStr">
        <is>
          <t>NOVA-R25</t>
        </is>
      </c>
      <c r="B29" t="inlineStr">
        <is>
          <t xml:space="preserve">LOT 8</t>
        </is>
      </c>
      <c r="C29" t="inlineStr">
        <is>
          <t xml:space="preserve">Valider configuration de déploiement, secrets, sauvegarde et restauration</t>
        </is>
      </c>
      <c r="D29" s="26">
        <f>Roadmap!I29</f>
      </c>
      <c r="E29" s="26">
        <f>Roadmap!K29</f>
      </c>
      <c r="F29">
        <f>Roadmap!G29</f>
      </c>
      <c r="G29" s="27">
        <f>IF(AND(G$4&gt;=$D29,G$4&lt;=$E29),1,"")</f>
      </c>
      <c r="H29" s="27">
        <f>IF(AND(H$4&gt;=$D29,H$4&lt;=$E29),1,"")</f>
      </c>
      <c r="I29" s="27">
        <f>IF(AND(I$4&gt;=$D29,I$4&lt;=$E29),1,"")</f>
      </c>
      <c r="J29" s="27">
        <f>IF(AND(J$4&gt;=$D29,J$4&lt;=$E29),1,"")</f>
      </c>
      <c r="K29" s="27">
        <f>IF(AND(K$4&gt;=$D29,K$4&lt;=$E29),1,"")</f>
      </c>
      <c r="L29" s="27">
        <f>IF(AND(L$4&gt;=$D29,L$4&lt;=$E29),1,"")</f>
      </c>
      <c r="M29" s="27">
        <f>IF(AND(M$4&gt;=$D29,M$4&lt;=$E29),1,"")</f>
      </c>
      <c r="N29" s="27">
        <f>IF(AND(N$4&gt;=$D29,N$4&lt;=$E29),1,"")</f>
      </c>
      <c r="O29" s="27">
        <f>IF(AND(O$4&gt;=$D29,O$4&lt;=$E29),1,"")</f>
      </c>
      <c r="P29" s="27">
        <f>IF(AND(P$4&gt;=$D29,P$4&lt;=$E29),1,"")</f>
      </c>
      <c r="Q29" s="27">
        <f>IF(AND(Q$4&gt;=$D29,Q$4&lt;=$E29),1,"")</f>
      </c>
      <c r="R29" s="27">
        <f>IF(AND(R$4&gt;=$D29,R$4&lt;=$E29),1,"")</f>
      </c>
      <c r="S29" s="27">
        <f>IF(AND(S$4&gt;=$D29,S$4&lt;=$E29),1,"")</f>
      </c>
      <c r="T29" s="27">
        <f>IF(AND(T$4&gt;=$D29,T$4&lt;=$E29),1,"")</f>
      </c>
      <c r="U29" s="27">
        <f>IF(AND(U$4&gt;=$D29,U$4&lt;=$E29),1,"")</f>
      </c>
      <c r="V29" s="27">
        <f>IF(AND(V$4&gt;=$D29,V$4&lt;=$E29),1,"")</f>
      </c>
      <c r="W29" s="27">
        <f>IF(AND(W$4&gt;=$D29,W$4&lt;=$E29),1,"")</f>
      </c>
      <c r="X29" s="27">
        <f>IF(AND(X$4&gt;=$D29,X$4&lt;=$E29),1,"")</f>
      </c>
      <c r="Y29" s="27">
        <f>IF(AND(Y$4&gt;=$D29,Y$4&lt;=$E29),1,"")</f>
      </c>
      <c r="Z29" s="27">
        <f>IF(AND(Z$4&gt;=$D29,Z$4&lt;=$E29),1,"")</f>
      </c>
      <c r="AA29" s="27">
        <f>IF(AND(AA$4&gt;=$D29,AA$4&lt;=$E29),1,"")</f>
      </c>
      <c r="AB29" s="27">
        <f>IF(AND(AB$4&gt;=$D29,AB$4&lt;=$E29),1,"")</f>
      </c>
      <c r="AC29" s="27">
        <f>IF(AND(AC$4&gt;=$D29,AC$4&lt;=$E29),1,"")</f>
      </c>
      <c r="AD29" s="27">
        <f>IF(AND(AD$4&gt;=$D29,AD$4&lt;=$E29),1,"")</f>
      </c>
      <c r="AE29" s="27">
        <f>IF(AND(AE$4&gt;=$D29,AE$4&lt;=$E29),1,"")</f>
      </c>
      <c r="AF29" s="27">
        <f>IF(AND(AF$4&gt;=$D29,AF$4&lt;=$E29),1,"")</f>
      </c>
      <c r="AG29" s="27">
        <f>IF(AND(AG$4&gt;=$D29,AG$4&lt;=$E29),1,"")</f>
      </c>
      <c r="AH29" s="27">
        <f>IF(AND(AH$4&gt;=$D29,AH$4&lt;=$E29),1,"")</f>
      </c>
      <c r="AI29" s="27">
        <f>IF(AND(AI$4&gt;=$D29,AI$4&lt;=$E29),1,"")</f>
      </c>
      <c r="AJ29" s="27">
        <f>IF(AND(AJ$4&gt;=$D29,AJ$4&lt;=$E29),1,"")</f>
      </c>
      <c r="AK29" s="27">
        <f>IF(AND(AK$4&gt;=$D29,AK$4&lt;=$E29),1,"")</f>
      </c>
      <c r="AL29" s="27">
        <f>IF(AND(AL$4&gt;=$D29,AL$4&lt;=$E29),1,"")</f>
      </c>
      <c r="AM29" s="27">
        <f>IF(AND(AM$4&gt;=$D29,AM$4&lt;=$E29),1,"")</f>
      </c>
      <c r="AN29" s="27">
        <f>IF(AND(AN$4&gt;=$D29,AN$4&lt;=$E29),1,"")</f>
      </c>
      <c r="AO29" s="27">
        <f>IF(AND(AO$4&gt;=$D29,AO$4&lt;=$E29),1,"")</f>
      </c>
      <c r="AP29" s="27">
        <f>IF(AND(AP$4&gt;=$D29,AP$4&lt;=$E29),1,"")</f>
      </c>
      <c r="AQ29" s="27">
        <f>IF(AND(AQ$4&gt;=$D29,AQ$4&lt;=$E29),1,"")</f>
      </c>
      <c r="AR29" s="27">
        <f>IF(AND(AR$4&gt;=$D29,AR$4&lt;=$E29),1,"")</f>
      </c>
      <c r="AS29" s="27">
        <f>IF(AND(AS$4&gt;=$D29,AS$4&lt;=$E29),1,"")</f>
      </c>
    </row>
    <row r="30">
      <c r="A30" t="inlineStr">
        <is>
          <t>NOVA-R26</t>
        </is>
      </c>
      <c r="B30" t="inlineStr">
        <is>
          <t xml:space="preserve">LOT 8</t>
        </is>
      </c>
      <c r="C30" t="inlineStr">
        <is>
          <t xml:space="preserve">Valider observabilité, logs, erreurs, timeout, annulation et reprise</t>
        </is>
      </c>
      <c r="D30" s="26">
        <f>Roadmap!I30</f>
      </c>
      <c r="E30" s="26">
        <f>Roadmap!K30</f>
      </c>
      <c r="F30">
        <f>Roadmap!G30</f>
      </c>
      <c r="G30" s="27">
        <f>IF(AND(G$4&gt;=$D30,G$4&lt;=$E30),1,"")</f>
      </c>
      <c r="H30" s="27">
        <f>IF(AND(H$4&gt;=$D30,H$4&lt;=$E30),1,"")</f>
      </c>
      <c r="I30" s="27">
        <f>IF(AND(I$4&gt;=$D30,I$4&lt;=$E30),1,"")</f>
      </c>
      <c r="J30" s="27">
        <f>IF(AND(J$4&gt;=$D30,J$4&lt;=$E30),1,"")</f>
      </c>
      <c r="K30" s="27">
        <f>IF(AND(K$4&gt;=$D30,K$4&lt;=$E30),1,"")</f>
      </c>
      <c r="L30" s="27">
        <f>IF(AND(L$4&gt;=$D30,L$4&lt;=$E30),1,"")</f>
      </c>
      <c r="M30" s="27">
        <f>IF(AND(M$4&gt;=$D30,M$4&lt;=$E30),1,"")</f>
      </c>
      <c r="N30" s="27">
        <f>IF(AND(N$4&gt;=$D30,N$4&lt;=$E30),1,"")</f>
      </c>
      <c r="O30" s="27">
        <f>IF(AND(O$4&gt;=$D30,O$4&lt;=$E30),1,"")</f>
      </c>
      <c r="P30" s="27">
        <f>IF(AND(P$4&gt;=$D30,P$4&lt;=$E30),1,"")</f>
      </c>
      <c r="Q30" s="27">
        <f>IF(AND(Q$4&gt;=$D30,Q$4&lt;=$E30),1,"")</f>
      </c>
      <c r="R30" s="27">
        <f>IF(AND(R$4&gt;=$D30,R$4&lt;=$E30),1,"")</f>
      </c>
      <c r="S30" s="27">
        <f>IF(AND(S$4&gt;=$D30,S$4&lt;=$E30),1,"")</f>
      </c>
      <c r="T30" s="27">
        <f>IF(AND(T$4&gt;=$D30,T$4&lt;=$E30),1,"")</f>
      </c>
      <c r="U30" s="27">
        <f>IF(AND(U$4&gt;=$D30,U$4&lt;=$E30),1,"")</f>
      </c>
      <c r="V30" s="27">
        <f>IF(AND(V$4&gt;=$D30,V$4&lt;=$E30),1,"")</f>
      </c>
      <c r="W30" s="27">
        <f>IF(AND(W$4&gt;=$D30,W$4&lt;=$E30),1,"")</f>
      </c>
      <c r="X30" s="27">
        <f>IF(AND(X$4&gt;=$D30,X$4&lt;=$E30),1,"")</f>
      </c>
      <c r="Y30" s="27">
        <f>IF(AND(Y$4&gt;=$D30,Y$4&lt;=$E30),1,"")</f>
      </c>
      <c r="Z30" s="27">
        <f>IF(AND(Z$4&gt;=$D30,Z$4&lt;=$E30),1,"")</f>
      </c>
      <c r="AA30" s="27">
        <f>IF(AND(AA$4&gt;=$D30,AA$4&lt;=$E30),1,"")</f>
      </c>
      <c r="AB30" s="27">
        <f>IF(AND(AB$4&gt;=$D30,AB$4&lt;=$E30),1,"")</f>
      </c>
      <c r="AC30" s="27">
        <f>IF(AND(AC$4&gt;=$D30,AC$4&lt;=$E30),1,"")</f>
      </c>
      <c r="AD30" s="27">
        <f>IF(AND(AD$4&gt;=$D30,AD$4&lt;=$E30),1,"")</f>
      </c>
      <c r="AE30" s="27">
        <f>IF(AND(AE$4&gt;=$D30,AE$4&lt;=$E30),1,"")</f>
      </c>
      <c r="AF30" s="27">
        <f>IF(AND(AF$4&gt;=$D30,AF$4&lt;=$E30),1,"")</f>
      </c>
      <c r="AG30" s="27">
        <f>IF(AND(AG$4&gt;=$D30,AG$4&lt;=$E30),1,"")</f>
      </c>
      <c r="AH30" s="27">
        <f>IF(AND(AH$4&gt;=$D30,AH$4&lt;=$E30),1,"")</f>
      </c>
      <c r="AI30" s="27">
        <f>IF(AND(AI$4&gt;=$D30,AI$4&lt;=$E30),1,"")</f>
      </c>
      <c r="AJ30" s="27">
        <f>IF(AND(AJ$4&gt;=$D30,AJ$4&lt;=$E30),1,"")</f>
      </c>
      <c r="AK30" s="27">
        <f>IF(AND(AK$4&gt;=$D30,AK$4&lt;=$E30),1,"")</f>
      </c>
      <c r="AL30" s="27">
        <f>IF(AND(AL$4&gt;=$D30,AL$4&lt;=$E30),1,"")</f>
      </c>
      <c r="AM30" s="27">
        <f>IF(AND(AM$4&gt;=$D30,AM$4&lt;=$E30),1,"")</f>
      </c>
      <c r="AN30" s="27">
        <f>IF(AND(AN$4&gt;=$D30,AN$4&lt;=$E30),1,"")</f>
      </c>
      <c r="AO30" s="27">
        <f>IF(AND(AO$4&gt;=$D30,AO$4&lt;=$E30),1,"")</f>
      </c>
      <c r="AP30" s="27">
        <f>IF(AND(AP$4&gt;=$D30,AP$4&lt;=$E30),1,"")</f>
      </c>
      <c r="AQ30" s="27">
        <f>IF(AND(AQ$4&gt;=$D30,AQ$4&lt;=$E30),1,"")</f>
      </c>
      <c r="AR30" s="27">
        <f>IF(AND(AR$4&gt;=$D30,AR$4&lt;=$E30),1,"")</f>
      </c>
      <c r="AS30" s="27">
        <f>IF(AND(AS$4&gt;=$D30,AS$4&lt;=$E30),1,"")</f>
      </c>
    </row>
    <row r="31">
      <c r="A31" t="inlineStr">
        <is>
          <t>NOVA-R27</t>
        </is>
      </c>
      <c r="B31" t="inlineStr">
        <is>
          <t xml:space="preserve">LOT 8</t>
        </is>
      </c>
      <c r="C31" t="inlineStr">
        <is>
          <t xml:space="preserve">Exécuter la recette produit complète sur environnement cible</t>
        </is>
      </c>
      <c r="D31" s="26">
        <f>Roadmap!I31</f>
      </c>
      <c r="E31" s="26">
        <f>Roadmap!K31</f>
      </c>
      <c r="F31">
        <f>Roadmap!G31</f>
      </c>
      <c r="G31" s="27">
        <f>IF(AND(G$4&gt;=$D31,G$4&lt;=$E31),1,"")</f>
      </c>
      <c r="H31" s="27">
        <f>IF(AND(H$4&gt;=$D31,H$4&lt;=$E31),1,"")</f>
      </c>
      <c r="I31" s="27">
        <f>IF(AND(I$4&gt;=$D31,I$4&lt;=$E31),1,"")</f>
      </c>
      <c r="J31" s="27">
        <f>IF(AND(J$4&gt;=$D31,J$4&lt;=$E31),1,"")</f>
      </c>
      <c r="K31" s="27">
        <f>IF(AND(K$4&gt;=$D31,K$4&lt;=$E31),1,"")</f>
      </c>
      <c r="L31" s="27">
        <f>IF(AND(L$4&gt;=$D31,L$4&lt;=$E31),1,"")</f>
      </c>
      <c r="M31" s="27">
        <f>IF(AND(M$4&gt;=$D31,M$4&lt;=$E31),1,"")</f>
      </c>
      <c r="N31" s="27">
        <f>IF(AND(N$4&gt;=$D31,N$4&lt;=$E31),1,"")</f>
      </c>
      <c r="O31" s="27">
        <f>IF(AND(O$4&gt;=$D31,O$4&lt;=$E31),1,"")</f>
      </c>
      <c r="P31" s="27">
        <f>IF(AND(P$4&gt;=$D31,P$4&lt;=$E31),1,"")</f>
      </c>
      <c r="Q31" s="27">
        <f>IF(AND(Q$4&gt;=$D31,Q$4&lt;=$E31),1,"")</f>
      </c>
      <c r="R31" s="27">
        <f>IF(AND(R$4&gt;=$D31,R$4&lt;=$E31),1,"")</f>
      </c>
      <c r="S31" s="27">
        <f>IF(AND(S$4&gt;=$D31,S$4&lt;=$E31),1,"")</f>
      </c>
      <c r="T31" s="27">
        <f>IF(AND(T$4&gt;=$D31,T$4&lt;=$E31),1,"")</f>
      </c>
      <c r="U31" s="27">
        <f>IF(AND(U$4&gt;=$D31,U$4&lt;=$E31),1,"")</f>
      </c>
      <c r="V31" s="27">
        <f>IF(AND(V$4&gt;=$D31,V$4&lt;=$E31),1,"")</f>
      </c>
      <c r="W31" s="27">
        <f>IF(AND(W$4&gt;=$D31,W$4&lt;=$E31),1,"")</f>
      </c>
      <c r="X31" s="27">
        <f>IF(AND(X$4&gt;=$D31,X$4&lt;=$E31),1,"")</f>
      </c>
      <c r="Y31" s="27">
        <f>IF(AND(Y$4&gt;=$D31,Y$4&lt;=$E31),1,"")</f>
      </c>
      <c r="Z31" s="27">
        <f>IF(AND(Z$4&gt;=$D31,Z$4&lt;=$E31),1,"")</f>
      </c>
      <c r="AA31" s="27">
        <f>IF(AND(AA$4&gt;=$D31,AA$4&lt;=$E31),1,"")</f>
      </c>
      <c r="AB31" s="27">
        <f>IF(AND(AB$4&gt;=$D31,AB$4&lt;=$E31),1,"")</f>
      </c>
      <c r="AC31" s="27">
        <f>IF(AND(AC$4&gt;=$D31,AC$4&lt;=$E31),1,"")</f>
      </c>
      <c r="AD31" s="27">
        <f>IF(AND(AD$4&gt;=$D31,AD$4&lt;=$E31),1,"")</f>
      </c>
      <c r="AE31" s="27">
        <f>IF(AND(AE$4&gt;=$D31,AE$4&lt;=$E31),1,"")</f>
      </c>
      <c r="AF31" s="27">
        <f>IF(AND(AF$4&gt;=$D31,AF$4&lt;=$E31),1,"")</f>
      </c>
      <c r="AG31" s="27">
        <f>IF(AND(AG$4&gt;=$D31,AG$4&lt;=$E31),1,"")</f>
      </c>
      <c r="AH31" s="27">
        <f>IF(AND(AH$4&gt;=$D31,AH$4&lt;=$E31),1,"")</f>
      </c>
      <c r="AI31" s="27">
        <f>IF(AND(AI$4&gt;=$D31,AI$4&lt;=$E31),1,"")</f>
      </c>
      <c r="AJ31" s="27">
        <f>IF(AND(AJ$4&gt;=$D31,AJ$4&lt;=$E31),1,"")</f>
      </c>
      <c r="AK31" s="27">
        <f>IF(AND(AK$4&gt;=$D31,AK$4&lt;=$E31),1,"")</f>
      </c>
      <c r="AL31" s="27">
        <f>IF(AND(AL$4&gt;=$D31,AL$4&lt;=$E31),1,"")</f>
      </c>
      <c r="AM31" s="27">
        <f>IF(AND(AM$4&gt;=$D31,AM$4&lt;=$E31),1,"")</f>
      </c>
      <c r="AN31" s="27">
        <f>IF(AND(AN$4&gt;=$D31,AN$4&lt;=$E31),1,"")</f>
      </c>
      <c r="AO31" s="27">
        <f>IF(AND(AO$4&gt;=$D31,AO$4&lt;=$E31),1,"")</f>
      </c>
      <c r="AP31" s="27">
        <f>IF(AND(AP$4&gt;=$D31,AP$4&lt;=$E31),1,"")</f>
      </c>
      <c r="AQ31" s="27">
        <f>IF(AND(AQ$4&gt;=$D31,AQ$4&lt;=$E31),1,"")</f>
      </c>
      <c r="AR31" s="27">
        <f>IF(AND(AR$4&gt;=$D31,AR$4&lt;=$E31),1,"")</f>
      </c>
      <c r="AS31" s="27">
        <f>IF(AND(AS$4&gt;=$D31,AS$4&lt;=$E31),1,"")</f>
      </c>
    </row>
    <row r="32">
      <c r="A32" t="inlineStr">
        <is>
          <t>NOVA-R28</t>
        </is>
      </c>
      <c r="B32" t="inlineStr">
        <is>
          <t xml:space="preserve">LOT 8</t>
        </is>
      </c>
      <c r="C32" t="inlineStr">
        <is>
          <t xml:space="preserve">Décision finale GO/NO GO production fondée sur preuves actuelles</t>
        </is>
      </c>
      <c r="D32" s="26">
        <f>Roadmap!I32</f>
      </c>
      <c r="E32" s="26">
        <f>Roadmap!K32</f>
      </c>
      <c r="F32">
        <f>Roadmap!G32</f>
      </c>
      <c r="G32" s="27">
        <f>IF(AND(G$4&gt;=$D32,G$4&lt;=$E32),1,"")</f>
      </c>
      <c r="H32" s="27">
        <f>IF(AND(H$4&gt;=$D32,H$4&lt;=$E32),1,"")</f>
      </c>
      <c r="I32" s="27">
        <f>IF(AND(I$4&gt;=$D32,I$4&lt;=$E32),1,"")</f>
      </c>
      <c r="J32" s="27">
        <f>IF(AND(J$4&gt;=$D32,J$4&lt;=$E32),1,"")</f>
      </c>
      <c r="K32" s="27">
        <f>IF(AND(K$4&gt;=$D32,K$4&lt;=$E32),1,"")</f>
      </c>
      <c r="L32" s="27">
        <f>IF(AND(L$4&gt;=$D32,L$4&lt;=$E32),1,"")</f>
      </c>
      <c r="M32" s="27">
        <f>IF(AND(M$4&gt;=$D32,M$4&lt;=$E32),1,"")</f>
      </c>
      <c r="N32" s="27">
        <f>IF(AND(N$4&gt;=$D32,N$4&lt;=$E32),1,"")</f>
      </c>
      <c r="O32" s="27">
        <f>IF(AND(O$4&gt;=$D32,O$4&lt;=$E32),1,"")</f>
      </c>
      <c r="P32" s="27">
        <f>IF(AND(P$4&gt;=$D32,P$4&lt;=$E32),1,"")</f>
      </c>
      <c r="Q32" s="27">
        <f>IF(AND(Q$4&gt;=$D32,Q$4&lt;=$E32),1,"")</f>
      </c>
      <c r="R32" s="27">
        <f>IF(AND(R$4&gt;=$D32,R$4&lt;=$E32),1,"")</f>
      </c>
      <c r="S32" s="27">
        <f>IF(AND(S$4&gt;=$D32,S$4&lt;=$E32),1,"")</f>
      </c>
      <c r="T32" s="27">
        <f>IF(AND(T$4&gt;=$D32,T$4&lt;=$E32),1,"")</f>
      </c>
      <c r="U32" s="27">
        <f>IF(AND(U$4&gt;=$D32,U$4&lt;=$E32),1,"")</f>
      </c>
      <c r="V32" s="27">
        <f>IF(AND(V$4&gt;=$D32,V$4&lt;=$E32),1,"")</f>
      </c>
      <c r="W32" s="27">
        <f>IF(AND(W$4&gt;=$D32,W$4&lt;=$E32),1,"")</f>
      </c>
      <c r="X32" s="27">
        <f>IF(AND(X$4&gt;=$D32,X$4&lt;=$E32),1,"")</f>
      </c>
      <c r="Y32" s="27">
        <f>IF(AND(Y$4&gt;=$D32,Y$4&lt;=$E32),1,"")</f>
      </c>
      <c r="Z32" s="27">
        <f>IF(AND(Z$4&gt;=$D32,Z$4&lt;=$E32),1,"")</f>
      </c>
      <c r="AA32" s="27">
        <f>IF(AND(AA$4&gt;=$D32,AA$4&lt;=$E32),1,"")</f>
      </c>
      <c r="AB32" s="27">
        <f>IF(AND(AB$4&gt;=$D32,AB$4&lt;=$E32),1,"")</f>
      </c>
      <c r="AC32" s="27">
        <f>IF(AND(AC$4&gt;=$D32,AC$4&lt;=$E32),1,"")</f>
      </c>
      <c r="AD32" s="27">
        <f>IF(AND(AD$4&gt;=$D32,AD$4&lt;=$E32),1,"")</f>
      </c>
      <c r="AE32" s="27">
        <f>IF(AND(AE$4&gt;=$D32,AE$4&lt;=$E32),1,"")</f>
      </c>
      <c r="AF32" s="27">
        <f>IF(AND(AF$4&gt;=$D32,AF$4&lt;=$E32),1,"")</f>
      </c>
      <c r="AG32" s="27">
        <f>IF(AND(AG$4&gt;=$D32,AG$4&lt;=$E32),1,"")</f>
      </c>
      <c r="AH32" s="27">
        <f>IF(AND(AH$4&gt;=$D32,AH$4&lt;=$E32),1,"")</f>
      </c>
      <c r="AI32" s="27">
        <f>IF(AND(AI$4&gt;=$D32,AI$4&lt;=$E32),1,"")</f>
      </c>
      <c r="AJ32" s="27">
        <f>IF(AND(AJ$4&gt;=$D32,AJ$4&lt;=$E32),1,"")</f>
      </c>
      <c r="AK32" s="27">
        <f>IF(AND(AK$4&gt;=$D32,AK$4&lt;=$E32),1,"")</f>
      </c>
      <c r="AL32" s="27">
        <f>IF(AND(AL$4&gt;=$D32,AL$4&lt;=$E32),1,"")</f>
      </c>
      <c r="AM32" s="27">
        <f>IF(AND(AM$4&gt;=$D32,AM$4&lt;=$E32),1,"")</f>
      </c>
      <c r="AN32" s="27">
        <f>IF(AND(AN$4&gt;=$D32,AN$4&lt;=$E32),1,"")</f>
      </c>
      <c r="AO32" s="27">
        <f>IF(AND(AO$4&gt;=$D32,AO$4&lt;=$E32),1,"")</f>
      </c>
      <c r="AP32" s="27">
        <f>IF(AND(AP$4&gt;=$D32,AP$4&lt;=$E32),1,"")</f>
      </c>
      <c r="AQ32" s="27">
        <f>IF(AND(AQ$4&gt;=$D32,AQ$4&lt;=$E32),1,"")</f>
      </c>
      <c r="AR32" s="27">
        <f>IF(AND(AR$4&gt;=$D32,AR$4&lt;=$E32),1,"")</f>
      </c>
      <c r="AS32" s="27">
        <f>IF(AND(AS$4&gt;=$D32,AS$4&lt;=$E32),1,"")</f>
      </c>
    </row>
  </sheetData>
  <mergeCells count="2">
    <mergeCell ref="A2:F2"/>
    <mergeCell ref="A1:F1"/>
  </mergeCells>
  <conditionalFormatting sqref="G5">
    <cfRule type="expression" priority="1" dxfId="3">
      <formula>G5=1</formula>
    </cfRule>
  </conditionalFormatting>
  <conditionalFormatting sqref="H5">
    <cfRule type="expression" priority="2" dxfId="3">
      <formula>H5=1</formula>
    </cfRule>
  </conditionalFormatting>
  <conditionalFormatting sqref="I5">
    <cfRule type="expression" priority="3" dxfId="3">
      <formula>I5=1</formula>
    </cfRule>
  </conditionalFormatting>
  <conditionalFormatting sqref="J5">
    <cfRule type="expression" priority="4" dxfId="3">
      <formula>J5=1</formula>
    </cfRule>
  </conditionalFormatting>
  <conditionalFormatting sqref="K5">
    <cfRule type="expression" priority="5" dxfId="3">
      <formula>K5=1</formula>
    </cfRule>
  </conditionalFormatting>
  <conditionalFormatting sqref="L5">
    <cfRule type="expression" priority="6" dxfId="3">
      <formula>L5=1</formula>
    </cfRule>
  </conditionalFormatting>
  <conditionalFormatting sqref="M5">
    <cfRule type="expression" priority="7" dxfId="3">
      <formula>M5=1</formula>
    </cfRule>
  </conditionalFormatting>
  <conditionalFormatting sqref="N5">
    <cfRule type="expression" priority="8" dxfId="3">
      <formula>N5=1</formula>
    </cfRule>
  </conditionalFormatting>
  <conditionalFormatting sqref="O5">
    <cfRule type="expression" priority="9" dxfId="3">
      <formula>O5=1</formula>
    </cfRule>
  </conditionalFormatting>
  <conditionalFormatting sqref="P5">
    <cfRule type="expression" priority="10" dxfId="3">
      <formula>P5=1</formula>
    </cfRule>
  </conditionalFormatting>
  <conditionalFormatting sqref="Q5">
    <cfRule type="expression" priority="11" dxfId="3">
      <formula>Q5=1</formula>
    </cfRule>
  </conditionalFormatting>
  <conditionalFormatting sqref="R5">
    <cfRule type="expression" priority="12" dxfId="3">
      <formula>R5=1</formula>
    </cfRule>
  </conditionalFormatting>
  <conditionalFormatting sqref="S5">
    <cfRule type="expression" priority="13" dxfId="3">
      <formula>S5=1</formula>
    </cfRule>
  </conditionalFormatting>
  <conditionalFormatting sqref="T5">
    <cfRule type="expression" priority="14" dxfId="3">
      <formula>T5=1</formula>
    </cfRule>
  </conditionalFormatting>
  <conditionalFormatting sqref="U5">
    <cfRule type="expression" priority="15" dxfId="3">
      <formula>U5=1</formula>
    </cfRule>
  </conditionalFormatting>
  <conditionalFormatting sqref="V5">
    <cfRule type="expression" priority="16" dxfId="3">
      <formula>V5=1</formula>
    </cfRule>
  </conditionalFormatting>
  <conditionalFormatting sqref="W5">
    <cfRule type="expression" priority="17" dxfId="3">
      <formula>W5=1</formula>
    </cfRule>
  </conditionalFormatting>
  <conditionalFormatting sqref="X5">
    <cfRule type="expression" priority="18" dxfId="3">
      <formula>X5=1</formula>
    </cfRule>
  </conditionalFormatting>
  <conditionalFormatting sqref="Y5">
    <cfRule type="expression" priority="19" dxfId="3">
      <formula>Y5=1</formula>
    </cfRule>
  </conditionalFormatting>
  <conditionalFormatting sqref="Z5">
    <cfRule type="expression" priority="20" dxfId="3">
      <formula>Z5=1</formula>
    </cfRule>
  </conditionalFormatting>
  <conditionalFormatting sqref="AA5">
    <cfRule type="expression" priority="21" dxfId="3">
      <formula>AA5=1</formula>
    </cfRule>
  </conditionalFormatting>
  <conditionalFormatting sqref="AB5">
    <cfRule type="expression" priority="22" dxfId="3">
      <formula>AB5=1</formula>
    </cfRule>
  </conditionalFormatting>
  <conditionalFormatting sqref="AC5">
    <cfRule type="expression" priority="23" dxfId="3">
      <formula>AC5=1</formula>
    </cfRule>
  </conditionalFormatting>
  <conditionalFormatting sqref="AD5">
    <cfRule type="expression" priority="24" dxfId="3">
      <formula>AD5=1</formula>
    </cfRule>
  </conditionalFormatting>
  <conditionalFormatting sqref="AE5">
    <cfRule type="expression" priority="25" dxfId="3">
      <formula>AE5=1</formula>
    </cfRule>
  </conditionalFormatting>
  <conditionalFormatting sqref="AF5">
    <cfRule type="expression" priority="26" dxfId="3">
      <formula>AF5=1</formula>
    </cfRule>
  </conditionalFormatting>
  <conditionalFormatting sqref="AG5">
    <cfRule type="expression" priority="27" dxfId="3">
      <formula>AG5=1</formula>
    </cfRule>
  </conditionalFormatting>
  <conditionalFormatting sqref="AH5">
    <cfRule type="expression" priority="28" dxfId="3">
      <formula>AH5=1</formula>
    </cfRule>
  </conditionalFormatting>
  <conditionalFormatting sqref="AI5">
    <cfRule type="expression" priority="29" dxfId="3">
      <formula>AI5=1</formula>
    </cfRule>
  </conditionalFormatting>
  <conditionalFormatting sqref="AJ5">
    <cfRule type="expression" priority="30" dxfId="3">
      <formula>AJ5=1</formula>
    </cfRule>
  </conditionalFormatting>
  <conditionalFormatting sqref="AK5">
    <cfRule type="expression" priority="31" dxfId="3">
      <formula>AK5=1</formula>
    </cfRule>
  </conditionalFormatting>
  <conditionalFormatting sqref="AL5">
    <cfRule type="expression" priority="32" dxfId="3">
      <formula>AL5=1</formula>
    </cfRule>
  </conditionalFormatting>
  <conditionalFormatting sqref="AM5">
    <cfRule type="expression" priority="33" dxfId="3">
      <formula>AM5=1</formula>
    </cfRule>
  </conditionalFormatting>
  <conditionalFormatting sqref="AN5">
    <cfRule type="expression" priority="34" dxfId="3">
      <formula>AN5=1</formula>
    </cfRule>
  </conditionalFormatting>
  <conditionalFormatting sqref="AO5">
    <cfRule type="expression" priority="35" dxfId="3">
      <formula>AO5=1</formula>
    </cfRule>
  </conditionalFormatting>
  <conditionalFormatting sqref="AP5">
    <cfRule type="expression" priority="36" dxfId="3">
      <formula>AP5=1</formula>
    </cfRule>
  </conditionalFormatting>
  <conditionalFormatting sqref="AQ5">
    <cfRule type="expression" priority="37" dxfId="3">
      <formula>AQ5=1</formula>
    </cfRule>
  </conditionalFormatting>
  <conditionalFormatting sqref="AR5">
    <cfRule type="expression" priority="38" dxfId="3">
      <formula>AR5=1</formula>
    </cfRule>
  </conditionalFormatting>
  <conditionalFormatting sqref="AS5">
    <cfRule type="expression" priority="39" dxfId="3">
      <formula>AS5=1</formula>
    </cfRule>
  </conditionalFormatting>
  <conditionalFormatting sqref="G6">
    <cfRule type="expression" priority="40" dxfId="3">
      <formula>G6=1</formula>
    </cfRule>
  </conditionalFormatting>
  <conditionalFormatting sqref="H6">
    <cfRule type="expression" priority="41" dxfId="3">
      <formula>H6=1</formula>
    </cfRule>
  </conditionalFormatting>
  <conditionalFormatting sqref="I6">
    <cfRule type="expression" priority="42" dxfId="3">
      <formula>I6=1</formula>
    </cfRule>
  </conditionalFormatting>
  <conditionalFormatting sqref="J6">
    <cfRule type="expression" priority="43" dxfId="3">
      <formula>J6=1</formula>
    </cfRule>
  </conditionalFormatting>
  <conditionalFormatting sqref="K6">
    <cfRule type="expression" priority="44" dxfId="3">
      <formula>K6=1</formula>
    </cfRule>
  </conditionalFormatting>
  <conditionalFormatting sqref="L6">
    <cfRule type="expression" priority="45" dxfId="3">
      <formula>L6=1</formula>
    </cfRule>
  </conditionalFormatting>
  <conditionalFormatting sqref="M6">
    <cfRule type="expression" priority="46" dxfId="3">
      <formula>M6=1</formula>
    </cfRule>
  </conditionalFormatting>
  <conditionalFormatting sqref="N6">
    <cfRule type="expression" priority="47" dxfId="3">
      <formula>N6=1</formula>
    </cfRule>
  </conditionalFormatting>
  <conditionalFormatting sqref="O6">
    <cfRule type="expression" priority="48" dxfId="3">
      <formula>O6=1</formula>
    </cfRule>
  </conditionalFormatting>
  <conditionalFormatting sqref="P6">
    <cfRule type="expression" priority="49" dxfId="3">
      <formula>P6=1</formula>
    </cfRule>
  </conditionalFormatting>
  <conditionalFormatting sqref="Q6">
    <cfRule type="expression" priority="50" dxfId="3">
      <formula>Q6=1</formula>
    </cfRule>
  </conditionalFormatting>
  <conditionalFormatting sqref="R6">
    <cfRule type="expression" priority="51" dxfId="3">
      <formula>R6=1</formula>
    </cfRule>
  </conditionalFormatting>
  <conditionalFormatting sqref="S6">
    <cfRule type="expression" priority="52" dxfId="3">
      <formula>S6=1</formula>
    </cfRule>
  </conditionalFormatting>
  <conditionalFormatting sqref="T6">
    <cfRule type="expression" priority="53" dxfId="3">
      <formula>T6=1</formula>
    </cfRule>
  </conditionalFormatting>
  <conditionalFormatting sqref="U6">
    <cfRule type="expression" priority="54" dxfId="3">
      <formula>U6=1</formula>
    </cfRule>
  </conditionalFormatting>
  <conditionalFormatting sqref="V6">
    <cfRule type="expression" priority="55" dxfId="3">
      <formula>V6=1</formula>
    </cfRule>
  </conditionalFormatting>
  <conditionalFormatting sqref="W6">
    <cfRule type="expression" priority="56" dxfId="3">
      <formula>W6=1</formula>
    </cfRule>
  </conditionalFormatting>
  <conditionalFormatting sqref="X6">
    <cfRule type="expression" priority="57" dxfId="3">
      <formula>X6=1</formula>
    </cfRule>
  </conditionalFormatting>
  <conditionalFormatting sqref="Y6">
    <cfRule type="expression" priority="58" dxfId="3">
      <formula>Y6=1</formula>
    </cfRule>
  </conditionalFormatting>
  <conditionalFormatting sqref="Z6">
    <cfRule type="expression" priority="59" dxfId="3">
      <formula>Z6=1</formula>
    </cfRule>
  </conditionalFormatting>
  <conditionalFormatting sqref="AA6">
    <cfRule type="expression" priority="60" dxfId="3">
      <formula>AA6=1</formula>
    </cfRule>
  </conditionalFormatting>
  <conditionalFormatting sqref="AB6">
    <cfRule type="expression" priority="61" dxfId="3">
      <formula>AB6=1</formula>
    </cfRule>
  </conditionalFormatting>
  <conditionalFormatting sqref="AC6">
    <cfRule type="expression" priority="62" dxfId="3">
      <formula>AC6=1</formula>
    </cfRule>
  </conditionalFormatting>
  <conditionalFormatting sqref="AD6">
    <cfRule type="expression" priority="63" dxfId="3">
      <formula>AD6=1</formula>
    </cfRule>
  </conditionalFormatting>
  <conditionalFormatting sqref="AE6">
    <cfRule type="expression" priority="64" dxfId="3">
      <formula>AE6=1</formula>
    </cfRule>
  </conditionalFormatting>
  <conditionalFormatting sqref="AF6">
    <cfRule type="expression" priority="65" dxfId="3">
      <formula>AF6=1</formula>
    </cfRule>
  </conditionalFormatting>
  <conditionalFormatting sqref="AG6">
    <cfRule type="expression" priority="66" dxfId="3">
      <formula>AG6=1</formula>
    </cfRule>
  </conditionalFormatting>
  <conditionalFormatting sqref="AH6">
    <cfRule type="expression" priority="67" dxfId="3">
      <formula>AH6=1</formula>
    </cfRule>
  </conditionalFormatting>
  <conditionalFormatting sqref="AI6">
    <cfRule type="expression" priority="68" dxfId="3">
      <formula>AI6=1</formula>
    </cfRule>
  </conditionalFormatting>
  <conditionalFormatting sqref="AJ6">
    <cfRule type="expression" priority="69" dxfId="3">
      <formula>AJ6=1</formula>
    </cfRule>
  </conditionalFormatting>
  <conditionalFormatting sqref="AK6">
    <cfRule type="expression" priority="70" dxfId="3">
      <formula>AK6=1</formula>
    </cfRule>
  </conditionalFormatting>
  <conditionalFormatting sqref="AL6">
    <cfRule type="expression" priority="71" dxfId="3">
      <formula>AL6=1</formula>
    </cfRule>
  </conditionalFormatting>
  <conditionalFormatting sqref="AM6">
    <cfRule type="expression" priority="72" dxfId="3">
      <formula>AM6=1</formula>
    </cfRule>
  </conditionalFormatting>
  <conditionalFormatting sqref="AN6">
    <cfRule type="expression" priority="73" dxfId="3">
      <formula>AN6=1</formula>
    </cfRule>
  </conditionalFormatting>
  <conditionalFormatting sqref="AO6">
    <cfRule type="expression" priority="74" dxfId="3">
      <formula>AO6=1</formula>
    </cfRule>
  </conditionalFormatting>
  <conditionalFormatting sqref="AP6">
    <cfRule type="expression" priority="75" dxfId="3">
      <formula>AP6=1</formula>
    </cfRule>
  </conditionalFormatting>
  <conditionalFormatting sqref="AQ6">
    <cfRule type="expression" priority="76" dxfId="3">
      <formula>AQ6=1</formula>
    </cfRule>
  </conditionalFormatting>
  <conditionalFormatting sqref="AR6">
    <cfRule type="expression" priority="77" dxfId="3">
      <formula>AR6=1</formula>
    </cfRule>
  </conditionalFormatting>
  <conditionalFormatting sqref="AS6">
    <cfRule type="expression" priority="78" dxfId="3">
      <formula>AS6=1</formula>
    </cfRule>
  </conditionalFormatting>
  <conditionalFormatting sqref="G7">
    <cfRule type="expression" priority="79" dxfId="3">
      <formula>G7=1</formula>
    </cfRule>
  </conditionalFormatting>
  <conditionalFormatting sqref="H7">
    <cfRule type="expression" priority="80" dxfId="3">
      <formula>H7=1</formula>
    </cfRule>
  </conditionalFormatting>
  <conditionalFormatting sqref="I7">
    <cfRule type="expression" priority="81" dxfId="3">
      <formula>I7=1</formula>
    </cfRule>
  </conditionalFormatting>
  <conditionalFormatting sqref="J7">
    <cfRule type="expression" priority="82" dxfId="3">
      <formula>J7=1</formula>
    </cfRule>
  </conditionalFormatting>
  <conditionalFormatting sqref="K7">
    <cfRule type="expression" priority="83" dxfId="3">
      <formula>K7=1</formula>
    </cfRule>
  </conditionalFormatting>
  <conditionalFormatting sqref="L7">
    <cfRule type="expression" priority="84" dxfId="3">
      <formula>L7=1</formula>
    </cfRule>
  </conditionalFormatting>
  <conditionalFormatting sqref="M7">
    <cfRule type="expression" priority="85" dxfId="3">
      <formula>M7=1</formula>
    </cfRule>
  </conditionalFormatting>
  <conditionalFormatting sqref="N7">
    <cfRule type="expression" priority="86" dxfId="3">
      <formula>N7=1</formula>
    </cfRule>
  </conditionalFormatting>
  <conditionalFormatting sqref="O7">
    <cfRule type="expression" priority="87" dxfId="3">
      <formula>O7=1</formula>
    </cfRule>
  </conditionalFormatting>
  <conditionalFormatting sqref="P7">
    <cfRule type="expression" priority="88" dxfId="3">
      <formula>P7=1</formula>
    </cfRule>
  </conditionalFormatting>
  <conditionalFormatting sqref="Q7">
    <cfRule type="expression" priority="89" dxfId="3">
      <formula>Q7=1</formula>
    </cfRule>
  </conditionalFormatting>
  <conditionalFormatting sqref="R7">
    <cfRule type="expression" priority="90" dxfId="3">
      <formula>R7=1</formula>
    </cfRule>
  </conditionalFormatting>
  <conditionalFormatting sqref="S7">
    <cfRule type="expression" priority="91" dxfId="3">
      <formula>S7=1</formula>
    </cfRule>
  </conditionalFormatting>
  <conditionalFormatting sqref="T7">
    <cfRule type="expression" priority="92" dxfId="3">
      <formula>T7=1</formula>
    </cfRule>
  </conditionalFormatting>
  <conditionalFormatting sqref="U7">
    <cfRule type="expression" priority="93" dxfId="3">
      <formula>U7=1</formula>
    </cfRule>
  </conditionalFormatting>
  <conditionalFormatting sqref="V7">
    <cfRule type="expression" priority="94" dxfId="3">
      <formula>V7=1</formula>
    </cfRule>
  </conditionalFormatting>
  <conditionalFormatting sqref="W7">
    <cfRule type="expression" priority="95" dxfId="3">
      <formula>W7=1</formula>
    </cfRule>
  </conditionalFormatting>
  <conditionalFormatting sqref="X7">
    <cfRule type="expression" priority="96" dxfId="3">
      <formula>X7=1</formula>
    </cfRule>
  </conditionalFormatting>
  <conditionalFormatting sqref="Y7">
    <cfRule type="expression" priority="97" dxfId="3">
      <formula>Y7=1</formula>
    </cfRule>
  </conditionalFormatting>
  <conditionalFormatting sqref="Z7">
    <cfRule type="expression" priority="98" dxfId="3">
      <formula>Z7=1</formula>
    </cfRule>
  </conditionalFormatting>
  <conditionalFormatting sqref="AA7">
    <cfRule type="expression" priority="99" dxfId="3">
      <formula>AA7=1</formula>
    </cfRule>
  </conditionalFormatting>
  <conditionalFormatting sqref="AB7">
    <cfRule type="expression" priority="100" dxfId="3">
      <formula>AB7=1</formula>
    </cfRule>
  </conditionalFormatting>
  <conditionalFormatting sqref="AC7">
    <cfRule type="expression" priority="101" dxfId="3">
      <formula>AC7=1</formula>
    </cfRule>
  </conditionalFormatting>
  <conditionalFormatting sqref="AD7">
    <cfRule type="expression" priority="102" dxfId="3">
      <formula>AD7=1</formula>
    </cfRule>
  </conditionalFormatting>
  <conditionalFormatting sqref="AE7">
    <cfRule type="expression" priority="103" dxfId="3">
      <formula>AE7=1</formula>
    </cfRule>
  </conditionalFormatting>
  <conditionalFormatting sqref="AF7">
    <cfRule type="expression" priority="104" dxfId="3">
      <formula>AF7=1</formula>
    </cfRule>
  </conditionalFormatting>
  <conditionalFormatting sqref="AG7">
    <cfRule type="expression" priority="105" dxfId="3">
      <formula>AG7=1</formula>
    </cfRule>
  </conditionalFormatting>
  <conditionalFormatting sqref="AH7">
    <cfRule type="expression" priority="106" dxfId="3">
      <formula>AH7=1</formula>
    </cfRule>
  </conditionalFormatting>
  <conditionalFormatting sqref="AI7">
    <cfRule type="expression" priority="107" dxfId="3">
      <formula>AI7=1</formula>
    </cfRule>
  </conditionalFormatting>
  <conditionalFormatting sqref="AJ7">
    <cfRule type="expression" priority="108" dxfId="3">
      <formula>AJ7=1</formula>
    </cfRule>
  </conditionalFormatting>
  <conditionalFormatting sqref="AK7">
    <cfRule type="expression" priority="109" dxfId="3">
      <formula>AK7=1</formula>
    </cfRule>
  </conditionalFormatting>
  <conditionalFormatting sqref="AL7">
    <cfRule type="expression" priority="110" dxfId="3">
      <formula>AL7=1</formula>
    </cfRule>
  </conditionalFormatting>
  <conditionalFormatting sqref="AM7">
    <cfRule type="expression" priority="111" dxfId="3">
      <formula>AM7=1</formula>
    </cfRule>
  </conditionalFormatting>
  <conditionalFormatting sqref="AN7">
    <cfRule type="expression" priority="112" dxfId="3">
      <formula>AN7=1</formula>
    </cfRule>
  </conditionalFormatting>
  <conditionalFormatting sqref="AO7">
    <cfRule type="expression" priority="113" dxfId="3">
      <formula>AO7=1</formula>
    </cfRule>
  </conditionalFormatting>
  <conditionalFormatting sqref="AP7">
    <cfRule type="expression" priority="114" dxfId="3">
      <formula>AP7=1</formula>
    </cfRule>
  </conditionalFormatting>
  <conditionalFormatting sqref="AQ7">
    <cfRule type="expression" priority="115" dxfId="3">
      <formula>AQ7=1</formula>
    </cfRule>
  </conditionalFormatting>
  <conditionalFormatting sqref="AR7">
    <cfRule type="expression" priority="116" dxfId="3">
      <formula>AR7=1</formula>
    </cfRule>
  </conditionalFormatting>
  <conditionalFormatting sqref="AS7">
    <cfRule type="expression" priority="117" dxfId="3">
      <formula>AS7=1</formula>
    </cfRule>
  </conditionalFormatting>
  <conditionalFormatting sqref="G8">
    <cfRule type="expression" priority="118" dxfId="3">
      <formula>G8=1</formula>
    </cfRule>
  </conditionalFormatting>
  <conditionalFormatting sqref="H8">
    <cfRule type="expression" priority="119" dxfId="3">
      <formula>H8=1</formula>
    </cfRule>
  </conditionalFormatting>
  <conditionalFormatting sqref="I8">
    <cfRule type="expression" priority="120" dxfId="3">
      <formula>I8=1</formula>
    </cfRule>
  </conditionalFormatting>
  <conditionalFormatting sqref="J8">
    <cfRule type="expression" priority="121" dxfId="3">
      <formula>J8=1</formula>
    </cfRule>
  </conditionalFormatting>
  <conditionalFormatting sqref="K8">
    <cfRule type="expression" priority="122" dxfId="3">
      <formula>K8=1</formula>
    </cfRule>
  </conditionalFormatting>
  <conditionalFormatting sqref="L8">
    <cfRule type="expression" priority="123" dxfId="3">
      <formula>L8=1</formula>
    </cfRule>
  </conditionalFormatting>
  <conditionalFormatting sqref="M8">
    <cfRule type="expression" priority="124" dxfId="3">
      <formula>M8=1</formula>
    </cfRule>
  </conditionalFormatting>
  <conditionalFormatting sqref="N8">
    <cfRule type="expression" priority="125" dxfId="3">
      <formula>N8=1</formula>
    </cfRule>
  </conditionalFormatting>
  <conditionalFormatting sqref="O8">
    <cfRule type="expression" priority="126" dxfId="3">
      <formula>O8=1</formula>
    </cfRule>
  </conditionalFormatting>
  <conditionalFormatting sqref="P8">
    <cfRule type="expression" priority="127" dxfId="3">
      <formula>P8=1</formula>
    </cfRule>
  </conditionalFormatting>
  <conditionalFormatting sqref="Q8">
    <cfRule type="expression" priority="128" dxfId="3">
      <formula>Q8=1</formula>
    </cfRule>
  </conditionalFormatting>
  <conditionalFormatting sqref="R8">
    <cfRule type="expression" priority="129" dxfId="3">
      <formula>R8=1</formula>
    </cfRule>
  </conditionalFormatting>
  <conditionalFormatting sqref="S8">
    <cfRule type="expression" priority="130" dxfId="3">
      <formula>S8=1</formula>
    </cfRule>
  </conditionalFormatting>
  <conditionalFormatting sqref="T8">
    <cfRule type="expression" priority="131" dxfId="3">
      <formula>T8=1</formula>
    </cfRule>
  </conditionalFormatting>
  <conditionalFormatting sqref="U8">
    <cfRule type="expression" priority="132" dxfId="3">
      <formula>U8=1</formula>
    </cfRule>
  </conditionalFormatting>
  <conditionalFormatting sqref="V8">
    <cfRule type="expression" priority="133" dxfId="3">
      <formula>V8=1</formula>
    </cfRule>
  </conditionalFormatting>
  <conditionalFormatting sqref="W8">
    <cfRule type="expression" priority="134" dxfId="3">
      <formula>W8=1</formula>
    </cfRule>
  </conditionalFormatting>
  <conditionalFormatting sqref="X8">
    <cfRule type="expression" priority="135" dxfId="3">
      <formula>X8=1</formula>
    </cfRule>
  </conditionalFormatting>
  <conditionalFormatting sqref="Y8">
    <cfRule type="expression" priority="136" dxfId="3">
      <formula>Y8=1</formula>
    </cfRule>
  </conditionalFormatting>
  <conditionalFormatting sqref="Z8">
    <cfRule type="expression" priority="137" dxfId="3">
      <formula>Z8=1</formula>
    </cfRule>
  </conditionalFormatting>
  <conditionalFormatting sqref="AA8">
    <cfRule type="expression" priority="138" dxfId="3">
      <formula>AA8=1</formula>
    </cfRule>
  </conditionalFormatting>
  <conditionalFormatting sqref="AB8">
    <cfRule type="expression" priority="139" dxfId="3">
      <formula>AB8=1</formula>
    </cfRule>
  </conditionalFormatting>
  <conditionalFormatting sqref="AC8">
    <cfRule type="expression" priority="140" dxfId="3">
      <formula>AC8=1</formula>
    </cfRule>
  </conditionalFormatting>
  <conditionalFormatting sqref="AD8">
    <cfRule type="expression" priority="141" dxfId="3">
      <formula>AD8=1</formula>
    </cfRule>
  </conditionalFormatting>
  <conditionalFormatting sqref="AE8">
    <cfRule type="expression" priority="142" dxfId="3">
      <formula>AE8=1</formula>
    </cfRule>
  </conditionalFormatting>
  <conditionalFormatting sqref="AF8">
    <cfRule type="expression" priority="143" dxfId="3">
      <formula>AF8=1</formula>
    </cfRule>
  </conditionalFormatting>
  <conditionalFormatting sqref="AG8">
    <cfRule type="expression" priority="144" dxfId="3">
      <formula>AG8=1</formula>
    </cfRule>
  </conditionalFormatting>
  <conditionalFormatting sqref="AH8">
    <cfRule type="expression" priority="145" dxfId="3">
      <formula>AH8=1</formula>
    </cfRule>
  </conditionalFormatting>
  <conditionalFormatting sqref="AI8">
    <cfRule type="expression" priority="146" dxfId="3">
      <formula>AI8=1</formula>
    </cfRule>
  </conditionalFormatting>
  <conditionalFormatting sqref="AJ8">
    <cfRule type="expression" priority="147" dxfId="3">
      <formula>AJ8=1</formula>
    </cfRule>
  </conditionalFormatting>
  <conditionalFormatting sqref="AK8">
    <cfRule type="expression" priority="148" dxfId="3">
      <formula>AK8=1</formula>
    </cfRule>
  </conditionalFormatting>
  <conditionalFormatting sqref="AL8">
    <cfRule type="expression" priority="149" dxfId="3">
      <formula>AL8=1</formula>
    </cfRule>
  </conditionalFormatting>
  <conditionalFormatting sqref="AM8">
    <cfRule type="expression" priority="150" dxfId="3">
      <formula>AM8=1</formula>
    </cfRule>
  </conditionalFormatting>
  <conditionalFormatting sqref="AN8">
    <cfRule type="expression" priority="151" dxfId="3">
      <formula>AN8=1</formula>
    </cfRule>
  </conditionalFormatting>
  <conditionalFormatting sqref="AO8">
    <cfRule type="expression" priority="152" dxfId="3">
      <formula>AO8=1</formula>
    </cfRule>
  </conditionalFormatting>
  <conditionalFormatting sqref="AP8">
    <cfRule type="expression" priority="153" dxfId="3">
      <formula>AP8=1</formula>
    </cfRule>
  </conditionalFormatting>
  <conditionalFormatting sqref="AQ8">
    <cfRule type="expression" priority="154" dxfId="3">
      <formula>AQ8=1</formula>
    </cfRule>
  </conditionalFormatting>
  <conditionalFormatting sqref="AR8">
    <cfRule type="expression" priority="155" dxfId="3">
      <formula>AR8=1</formula>
    </cfRule>
  </conditionalFormatting>
  <conditionalFormatting sqref="AS8">
    <cfRule type="expression" priority="156" dxfId="3">
      <formula>AS8=1</formula>
    </cfRule>
  </conditionalFormatting>
  <conditionalFormatting sqref="G9">
    <cfRule type="expression" priority="157" dxfId="3">
      <formula>G9=1</formula>
    </cfRule>
  </conditionalFormatting>
  <conditionalFormatting sqref="H9">
    <cfRule type="expression" priority="158" dxfId="3">
      <formula>H9=1</formula>
    </cfRule>
  </conditionalFormatting>
  <conditionalFormatting sqref="I9">
    <cfRule type="expression" priority="159" dxfId="3">
      <formula>I9=1</formula>
    </cfRule>
  </conditionalFormatting>
  <conditionalFormatting sqref="J9">
    <cfRule type="expression" priority="160" dxfId="3">
      <formula>J9=1</formula>
    </cfRule>
  </conditionalFormatting>
  <conditionalFormatting sqref="K9">
    <cfRule type="expression" priority="161" dxfId="3">
      <formula>K9=1</formula>
    </cfRule>
  </conditionalFormatting>
  <conditionalFormatting sqref="L9">
    <cfRule type="expression" priority="162" dxfId="3">
      <formula>L9=1</formula>
    </cfRule>
  </conditionalFormatting>
  <conditionalFormatting sqref="M9">
    <cfRule type="expression" priority="163" dxfId="3">
      <formula>M9=1</formula>
    </cfRule>
  </conditionalFormatting>
  <conditionalFormatting sqref="N9">
    <cfRule type="expression" priority="164" dxfId="3">
      <formula>N9=1</formula>
    </cfRule>
  </conditionalFormatting>
  <conditionalFormatting sqref="O9">
    <cfRule type="expression" priority="165" dxfId="3">
      <formula>O9=1</formula>
    </cfRule>
  </conditionalFormatting>
  <conditionalFormatting sqref="P9">
    <cfRule type="expression" priority="166" dxfId="3">
      <formula>P9=1</formula>
    </cfRule>
  </conditionalFormatting>
  <conditionalFormatting sqref="Q9">
    <cfRule type="expression" priority="167" dxfId="3">
      <formula>Q9=1</formula>
    </cfRule>
  </conditionalFormatting>
  <conditionalFormatting sqref="R9">
    <cfRule type="expression" priority="168" dxfId="3">
      <formula>R9=1</formula>
    </cfRule>
  </conditionalFormatting>
  <conditionalFormatting sqref="S9">
    <cfRule type="expression" priority="169" dxfId="3">
      <formula>S9=1</formula>
    </cfRule>
  </conditionalFormatting>
  <conditionalFormatting sqref="T9">
    <cfRule type="expression" priority="170" dxfId="3">
      <formula>T9=1</formula>
    </cfRule>
  </conditionalFormatting>
  <conditionalFormatting sqref="U9">
    <cfRule type="expression" priority="171" dxfId="3">
      <formula>U9=1</formula>
    </cfRule>
  </conditionalFormatting>
  <conditionalFormatting sqref="V9">
    <cfRule type="expression" priority="172" dxfId="3">
      <formula>V9=1</formula>
    </cfRule>
  </conditionalFormatting>
  <conditionalFormatting sqref="W9">
    <cfRule type="expression" priority="173" dxfId="3">
      <formula>W9=1</formula>
    </cfRule>
  </conditionalFormatting>
  <conditionalFormatting sqref="X9">
    <cfRule type="expression" priority="174" dxfId="3">
      <formula>X9=1</formula>
    </cfRule>
  </conditionalFormatting>
  <conditionalFormatting sqref="Y9">
    <cfRule type="expression" priority="175" dxfId="3">
      <formula>Y9=1</formula>
    </cfRule>
  </conditionalFormatting>
  <conditionalFormatting sqref="Z9">
    <cfRule type="expression" priority="176" dxfId="3">
      <formula>Z9=1</formula>
    </cfRule>
  </conditionalFormatting>
  <conditionalFormatting sqref="AA9">
    <cfRule type="expression" priority="177" dxfId="3">
      <formula>AA9=1</formula>
    </cfRule>
  </conditionalFormatting>
  <conditionalFormatting sqref="AB9">
    <cfRule type="expression" priority="178" dxfId="3">
      <formula>AB9=1</formula>
    </cfRule>
  </conditionalFormatting>
  <conditionalFormatting sqref="AC9">
    <cfRule type="expression" priority="179" dxfId="3">
      <formula>AC9=1</formula>
    </cfRule>
  </conditionalFormatting>
  <conditionalFormatting sqref="AD9">
    <cfRule type="expression" priority="180" dxfId="3">
      <formula>AD9=1</formula>
    </cfRule>
  </conditionalFormatting>
  <conditionalFormatting sqref="AE9">
    <cfRule type="expression" priority="181" dxfId="3">
      <formula>AE9=1</formula>
    </cfRule>
  </conditionalFormatting>
  <conditionalFormatting sqref="AF9">
    <cfRule type="expression" priority="182" dxfId="3">
      <formula>AF9=1</formula>
    </cfRule>
  </conditionalFormatting>
  <conditionalFormatting sqref="AG9">
    <cfRule type="expression" priority="183" dxfId="3">
      <formula>AG9=1</formula>
    </cfRule>
  </conditionalFormatting>
  <conditionalFormatting sqref="AH9">
    <cfRule type="expression" priority="184" dxfId="3">
      <formula>AH9=1</formula>
    </cfRule>
  </conditionalFormatting>
  <conditionalFormatting sqref="AI9">
    <cfRule type="expression" priority="185" dxfId="3">
      <formula>AI9=1</formula>
    </cfRule>
  </conditionalFormatting>
  <conditionalFormatting sqref="AJ9">
    <cfRule type="expression" priority="186" dxfId="3">
      <formula>AJ9=1</formula>
    </cfRule>
  </conditionalFormatting>
  <conditionalFormatting sqref="AK9">
    <cfRule type="expression" priority="187" dxfId="3">
      <formula>AK9=1</formula>
    </cfRule>
  </conditionalFormatting>
  <conditionalFormatting sqref="AL9">
    <cfRule type="expression" priority="188" dxfId="3">
      <formula>AL9=1</formula>
    </cfRule>
  </conditionalFormatting>
  <conditionalFormatting sqref="AM9">
    <cfRule type="expression" priority="189" dxfId="3">
      <formula>AM9=1</formula>
    </cfRule>
  </conditionalFormatting>
  <conditionalFormatting sqref="AN9">
    <cfRule type="expression" priority="190" dxfId="3">
      <formula>AN9=1</formula>
    </cfRule>
  </conditionalFormatting>
  <conditionalFormatting sqref="AO9">
    <cfRule type="expression" priority="191" dxfId="3">
      <formula>AO9=1</formula>
    </cfRule>
  </conditionalFormatting>
  <conditionalFormatting sqref="AP9">
    <cfRule type="expression" priority="192" dxfId="3">
      <formula>AP9=1</formula>
    </cfRule>
  </conditionalFormatting>
  <conditionalFormatting sqref="AQ9">
    <cfRule type="expression" priority="193" dxfId="3">
      <formula>AQ9=1</formula>
    </cfRule>
  </conditionalFormatting>
  <conditionalFormatting sqref="AR9">
    <cfRule type="expression" priority="194" dxfId="3">
      <formula>AR9=1</formula>
    </cfRule>
  </conditionalFormatting>
  <conditionalFormatting sqref="AS9">
    <cfRule type="expression" priority="195" dxfId="3">
      <formula>AS9=1</formula>
    </cfRule>
  </conditionalFormatting>
  <conditionalFormatting sqref="G10">
    <cfRule type="expression" priority="196" dxfId="3">
      <formula>G10=1</formula>
    </cfRule>
  </conditionalFormatting>
  <conditionalFormatting sqref="H10">
    <cfRule type="expression" priority="197" dxfId="3">
      <formula>H10=1</formula>
    </cfRule>
  </conditionalFormatting>
  <conditionalFormatting sqref="I10">
    <cfRule type="expression" priority="198" dxfId="3">
      <formula>I10=1</formula>
    </cfRule>
  </conditionalFormatting>
  <conditionalFormatting sqref="J10">
    <cfRule type="expression" priority="199" dxfId="3">
      <formula>J10=1</formula>
    </cfRule>
  </conditionalFormatting>
  <conditionalFormatting sqref="K10">
    <cfRule type="expression" priority="200" dxfId="3">
      <formula>K10=1</formula>
    </cfRule>
  </conditionalFormatting>
  <conditionalFormatting sqref="L10">
    <cfRule type="expression" priority="201" dxfId="3">
      <formula>L10=1</formula>
    </cfRule>
  </conditionalFormatting>
  <conditionalFormatting sqref="M10">
    <cfRule type="expression" priority="202" dxfId="3">
      <formula>M10=1</formula>
    </cfRule>
  </conditionalFormatting>
  <conditionalFormatting sqref="N10">
    <cfRule type="expression" priority="203" dxfId="3">
      <formula>N10=1</formula>
    </cfRule>
  </conditionalFormatting>
  <conditionalFormatting sqref="O10">
    <cfRule type="expression" priority="204" dxfId="3">
      <formula>O10=1</formula>
    </cfRule>
  </conditionalFormatting>
  <conditionalFormatting sqref="P10">
    <cfRule type="expression" priority="205" dxfId="3">
      <formula>P10=1</formula>
    </cfRule>
  </conditionalFormatting>
  <conditionalFormatting sqref="Q10">
    <cfRule type="expression" priority="206" dxfId="3">
      <formula>Q10=1</formula>
    </cfRule>
  </conditionalFormatting>
  <conditionalFormatting sqref="R10">
    <cfRule type="expression" priority="207" dxfId="3">
      <formula>R10=1</formula>
    </cfRule>
  </conditionalFormatting>
  <conditionalFormatting sqref="S10">
    <cfRule type="expression" priority="208" dxfId="3">
      <formula>S10=1</formula>
    </cfRule>
  </conditionalFormatting>
  <conditionalFormatting sqref="T10">
    <cfRule type="expression" priority="209" dxfId="3">
      <formula>T10=1</formula>
    </cfRule>
  </conditionalFormatting>
  <conditionalFormatting sqref="U10">
    <cfRule type="expression" priority="210" dxfId="3">
      <formula>U10=1</formula>
    </cfRule>
  </conditionalFormatting>
  <conditionalFormatting sqref="V10">
    <cfRule type="expression" priority="211" dxfId="3">
      <formula>V10=1</formula>
    </cfRule>
  </conditionalFormatting>
  <conditionalFormatting sqref="W10">
    <cfRule type="expression" priority="212" dxfId="3">
      <formula>W10=1</formula>
    </cfRule>
  </conditionalFormatting>
  <conditionalFormatting sqref="X10">
    <cfRule type="expression" priority="213" dxfId="3">
      <formula>X10=1</formula>
    </cfRule>
  </conditionalFormatting>
  <conditionalFormatting sqref="Y10">
    <cfRule type="expression" priority="214" dxfId="3">
      <formula>Y10=1</formula>
    </cfRule>
  </conditionalFormatting>
  <conditionalFormatting sqref="Z10">
    <cfRule type="expression" priority="215" dxfId="3">
      <formula>Z10=1</formula>
    </cfRule>
  </conditionalFormatting>
  <conditionalFormatting sqref="AA10">
    <cfRule type="expression" priority="216" dxfId="3">
      <formula>AA10=1</formula>
    </cfRule>
  </conditionalFormatting>
  <conditionalFormatting sqref="AB10">
    <cfRule type="expression" priority="217" dxfId="3">
      <formula>AB10=1</formula>
    </cfRule>
  </conditionalFormatting>
  <conditionalFormatting sqref="AC10">
    <cfRule type="expression" priority="218" dxfId="3">
      <formula>AC10=1</formula>
    </cfRule>
  </conditionalFormatting>
  <conditionalFormatting sqref="AD10">
    <cfRule type="expression" priority="219" dxfId="3">
      <formula>AD10=1</formula>
    </cfRule>
  </conditionalFormatting>
  <conditionalFormatting sqref="AE10">
    <cfRule type="expression" priority="220" dxfId="3">
      <formula>AE10=1</formula>
    </cfRule>
  </conditionalFormatting>
  <conditionalFormatting sqref="AF10">
    <cfRule type="expression" priority="221" dxfId="3">
      <formula>AF10=1</formula>
    </cfRule>
  </conditionalFormatting>
  <conditionalFormatting sqref="AG10">
    <cfRule type="expression" priority="222" dxfId="3">
      <formula>AG10=1</formula>
    </cfRule>
  </conditionalFormatting>
  <conditionalFormatting sqref="AH10">
    <cfRule type="expression" priority="223" dxfId="3">
      <formula>AH10=1</formula>
    </cfRule>
  </conditionalFormatting>
  <conditionalFormatting sqref="AI10">
    <cfRule type="expression" priority="224" dxfId="3">
      <formula>AI10=1</formula>
    </cfRule>
  </conditionalFormatting>
  <conditionalFormatting sqref="AJ10">
    <cfRule type="expression" priority="225" dxfId="3">
      <formula>AJ10=1</formula>
    </cfRule>
  </conditionalFormatting>
  <conditionalFormatting sqref="AK10">
    <cfRule type="expression" priority="226" dxfId="3">
      <formula>AK10=1</formula>
    </cfRule>
  </conditionalFormatting>
  <conditionalFormatting sqref="AL10">
    <cfRule type="expression" priority="227" dxfId="3">
      <formula>AL10=1</formula>
    </cfRule>
  </conditionalFormatting>
  <conditionalFormatting sqref="AM10">
    <cfRule type="expression" priority="228" dxfId="3">
      <formula>AM10=1</formula>
    </cfRule>
  </conditionalFormatting>
  <conditionalFormatting sqref="AN10">
    <cfRule type="expression" priority="229" dxfId="3">
      <formula>AN10=1</formula>
    </cfRule>
  </conditionalFormatting>
  <conditionalFormatting sqref="AO10">
    <cfRule type="expression" priority="230" dxfId="3">
      <formula>AO10=1</formula>
    </cfRule>
  </conditionalFormatting>
  <conditionalFormatting sqref="AP10">
    <cfRule type="expression" priority="231" dxfId="3">
      <formula>AP10=1</formula>
    </cfRule>
  </conditionalFormatting>
  <conditionalFormatting sqref="AQ10">
    <cfRule type="expression" priority="232" dxfId="3">
      <formula>AQ10=1</formula>
    </cfRule>
  </conditionalFormatting>
  <conditionalFormatting sqref="AR10">
    <cfRule type="expression" priority="233" dxfId="3">
      <formula>AR10=1</formula>
    </cfRule>
  </conditionalFormatting>
  <conditionalFormatting sqref="AS10">
    <cfRule type="expression" priority="234" dxfId="3">
      <formula>AS10=1</formula>
    </cfRule>
  </conditionalFormatting>
  <conditionalFormatting sqref="G11">
    <cfRule type="expression" priority="235" dxfId="3">
      <formula>G11=1</formula>
    </cfRule>
  </conditionalFormatting>
  <conditionalFormatting sqref="H11">
    <cfRule type="expression" priority="236" dxfId="3">
      <formula>H11=1</formula>
    </cfRule>
  </conditionalFormatting>
  <conditionalFormatting sqref="I11">
    <cfRule type="expression" priority="237" dxfId="3">
      <formula>I11=1</formula>
    </cfRule>
  </conditionalFormatting>
  <conditionalFormatting sqref="J11">
    <cfRule type="expression" priority="238" dxfId="3">
      <formula>J11=1</formula>
    </cfRule>
  </conditionalFormatting>
  <conditionalFormatting sqref="K11">
    <cfRule type="expression" priority="239" dxfId="3">
      <formula>K11=1</formula>
    </cfRule>
  </conditionalFormatting>
  <conditionalFormatting sqref="L11">
    <cfRule type="expression" priority="240" dxfId="3">
      <formula>L11=1</formula>
    </cfRule>
  </conditionalFormatting>
  <conditionalFormatting sqref="M11">
    <cfRule type="expression" priority="241" dxfId="3">
      <formula>M11=1</formula>
    </cfRule>
  </conditionalFormatting>
  <conditionalFormatting sqref="N11">
    <cfRule type="expression" priority="242" dxfId="3">
      <formula>N11=1</formula>
    </cfRule>
  </conditionalFormatting>
  <conditionalFormatting sqref="O11">
    <cfRule type="expression" priority="243" dxfId="3">
      <formula>O11=1</formula>
    </cfRule>
  </conditionalFormatting>
  <conditionalFormatting sqref="P11">
    <cfRule type="expression" priority="244" dxfId="3">
      <formula>P11=1</formula>
    </cfRule>
  </conditionalFormatting>
  <conditionalFormatting sqref="Q11">
    <cfRule type="expression" priority="245" dxfId="3">
      <formula>Q11=1</formula>
    </cfRule>
  </conditionalFormatting>
  <conditionalFormatting sqref="R11">
    <cfRule type="expression" priority="246" dxfId="3">
      <formula>R11=1</formula>
    </cfRule>
  </conditionalFormatting>
  <conditionalFormatting sqref="S11">
    <cfRule type="expression" priority="247" dxfId="3">
      <formula>S11=1</formula>
    </cfRule>
  </conditionalFormatting>
  <conditionalFormatting sqref="T11">
    <cfRule type="expression" priority="248" dxfId="3">
      <formula>T11=1</formula>
    </cfRule>
  </conditionalFormatting>
  <conditionalFormatting sqref="U11">
    <cfRule type="expression" priority="249" dxfId="3">
      <formula>U11=1</formula>
    </cfRule>
  </conditionalFormatting>
  <conditionalFormatting sqref="V11">
    <cfRule type="expression" priority="250" dxfId="3">
      <formula>V11=1</formula>
    </cfRule>
  </conditionalFormatting>
  <conditionalFormatting sqref="W11">
    <cfRule type="expression" priority="251" dxfId="3">
      <formula>W11=1</formula>
    </cfRule>
  </conditionalFormatting>
  <conditionalFormatting sqref="X11">
    <cfRule type="expression" priority="252" dxfId="3">
      <formula>X11=1</formula>
    </cfRule>
  </conditionalFormatting>
  <conditionalFormatting sqref="Y11">
    <cfRule type="expression" priority="253" dxfId="3">
      <formula>Y11=1</formula>
    </cfRule>
  </conditionalFormatting>
  <conditionalFormatting sqref="Z11">
    <cfRule type="expression" priority="254" dxfId="3">
      <formula>Z11=1</formula>
    </cfRule>
  </conditionalFormatting>
  <conditionalFormatting sqref="AA11">
    <cfRule type="expression" priority="255" dxfId="3">
      <formula>AA11=1</formula>
    </cfRule>
  </conditionalFormatting>
  <conditionalFormatting sqref="AB11">
    <cfRule type="expression" priority="256" dxfId="3">
      <formula>AB11=1</formula>
    </cfRule>
  </conditionalFormatting>
  <conditionalFormatting sqref="AC11">
    <cfRule type="expression" priority="257" dxfId="3">
      <formula>AC11=1</formula>
    </cfRule>
  </conditionalFormatting>
  <conditionalFormatting sqref="AD11">
    <cfRule type="expression" priority="258" dxfId="3">
      <formula>AD11=1</formula>
    </cfRule>
  </conditionalFormatting>
  <conditionalFormatting sqref="AE11">
    <cfRule type="expression" priority="259" dxfId="3">
      <formula>AE11=1</formula>
    </cfRule>
  </conditionalFormatting>
  <conditionalFormatting sqref="AF11">
    <cfRule type="expression" priority="260" dxfId="3">
      <formula>AF11=1</formula>
    </cfRule>
  </conditionalFormatting>
  <conditionalFormatting sqref="AG11">
    <cfRule type="expression" priority="261" dxfId="3">
      <formula>AG11=1</formula>
    </cfRule>
  </conditionalFormatting>
  <conditionalFormatting sqref="AH11">
    <cfRule type="expression" priority="262" dxfId="3">
      <formula>AH11=1</formula>
    </cfRule>
  </conditionalFormatting>
  <conditionalFormatting sqref="AI11">
    <cfRule type="expression" priority="263" dxfId="3">
      <formula>AI11=1</formula>
    </cfRule>
  </conditionalFormatting>
  <conditionalFormatting sqref="AJ11">
    <cfRule type="expression" priority="264" dxfId="3">
      <formula>AJ11=1</formula>
    </cfRule>
  </conditionalFormatting>
  <conditionalFormatting sqref="AK11">
    <cfRule type="expression" priority="265" dxfId="3">
      <formula>AK11=1</formula>
    </cfRule>
  </conditionalFormatting>
  <conditionalFormatting sqref="AL11">
    <cfRule type="expression" priority="266" dxfId="3">
      <formula>AL11=1</formula>
    </cfRule>
  </conditionalFormatting>
  <conditionalFormatting sqref="AM11">
    <cfRule type="expression" priority="267" dxfId="3">
      <formula>AM11=1</formula>
    </cfRule>
  </conditionalFormatting>
  <conditionalFormatting sqref="AN11">
    <cfRule type="expression" priority="268" dxfId="3">
      <formula>AN11=1</formula>
    </cfRule>
  </conditionalFormatting>
  <conditionalFormatting sqref="AO11">
    <cfRule type="expression" priority="269" dxfId="3">
      <formula>AO11=1</formula>
    </cfRule>
  </conditionalFormatting>
  <conditionalFormatting sqref="AP11">
    <cfRule type="expression" priority="270" dxfId="3">
      <formula>AP11=1</formula>
    </cfRule>
  </conditionalFormatting>
  <conditionalFormatting sqref="AQ11">
    <cfRule type="expression" priority="271" dxfId="3">
      <formula>AQ11=1</formula>
    </cfRule>
  </conditionalFormatting>
  <conditionalFormatting sqref="AR11">
    <cfRule type="expression" priority="272" dxfId="3">
      <formula>AR11=1</formula>
    </cfRule>
  </conditionalFormatting>
  <conditionalFormatting sqref="AS11">
    <cfRule type="expression" priority="273" dxfId="3">
      <formula>AS11=1</formula>
    </cfRule>
  </conditionalFormatting>
  <conditionalFormatting sqref="G12">
    <cfRule type="expression" priority="274" dxfId="3">
      <formula>G12=1</formula>
    </cfRule>
  </conditionalFormatting>
  <conditionalFormatting sqref="H12">
    <cfRule type="expression" priority="275" dxfId="3">
      <formula>H12=1</formula>
    </cfRule>
  </conditionalFormatting>
  <conditionalFormatting sqref="I12">
    <cfRule type="expression" priority="276" dxfId="3">
      <formula>I12=1</formula>
    </cfRule>
  </conditionalFormatting>
  <conditionalFormatting sqref="J12">
    <cfRule type="expression" priority="277" dxfId="3">
      <formula>J12=1</formula>
    </cfRule>
  </conditionalFormatting>
  <conditionalFormatting sqref="K12">
    <cfRule type="expression" priority="278" dxfId="3">
      <formula>K12=1</formula>
    </cfRule>
  </conditionalFormatting>
  <conditionalFormatting sqref="L12">
    <cfRule type="expression" priority="279" dxfId="3">
      <formula>L12=1</formula>
    </cfRule>
  </conditionalFormatting>
  <conditionalFormatting sqref="M12">
    <cfRule type="expression" priority="280" dxfId="3">
      <formula>M12=1</formula>
    </cfRule>
  </conditionalFormatting>
  <conditionalFormatting sqref="N12">
    <cfRule type="expression" priority="281" dxfId="3">
      <formula>N12=1</formula>
    </cfRule>
  </conditionalFormatting>
  <conditionalFormatting sqref="O12">
    <cfRule type="expression" priority="282" dxfId="3">
      <formula>O12=1</formula>
    </cfRule>
  </conditionalFormatting>
  <conditionalFormatting sqref="P12">
    <cfRule type="expression" priority="283" dxfId="3">
      <formula>P12=1</formula>
    </cfRule>
  </conditionalFormatting>
  <conditionalFormatting sqref="Q12">
    <cfRule type="expression" priority="284" dxfId="3">
      <formula>Q12=1</formula>
    </cfRule>
  </conditionalFormatting>
  <conditionalFormatting sqref="R12">
    <cfRule type="expression" priority="285" dxfId="3">
      <formula>R12=1</formula>
    </cfRule>
  </conditionalFormatting>
  <conditionalFormatting sqref="S12">
    <cfRule type="expression" priority="286" dxfId="3">
      <formula>S12=1</formula>
    </cfRule>
  </conditionalFormatting>
  <conditionalFormatting sqref="T12">
    <cfRule type="expression" priority="287" dxfId="3">
      <formula>T12=1</formula>
    </cfRule>
  </conditionalFormatting>
  <conditionalFormatting sqref="U12">
    <cfRule type="expression" priority="288" dxfId="3">
      <formula>U12=1</formula>
    </cfRule>
  </conditionalFormatting>
  <conditionalFormatting sqref="V12">
    <cfRule type="expression" priority="289" dxfId="3">
      <formula>V12=1</formula>
    </cfRule>
  </conditionalFormatting>
  <conditionalFormatting sqref="W12">
    <cfRule type="expression" priority="290" dxfId="3">
      <formula>W12=1</formula>
    </cfRule>
  </conditionalFormatting>
  <conditionalFormatting sqref="X12">
    <cfRule type="expression" priority="291" dxfId="3">
      <formula>X12=1</formula>
    </cfRule>
  </conditionalFormatting>
  <conditionalFormatting sqref="Y12">
    <cfRule type="expression" priority="292" dxfId="3">
      <formula>Y12=1</formula>
    </cfRule>
  </conditionalFormatting>
  <conditionalFormatting sqref="Z12">
    <cfRule type="expression" priority="293" dxfId="3">
      <formula>Z12=1</formula>
    </cfRule>
  </conditionalFormatting>
  <conditionalFormatting sqref="AA12">
    <cfRule type="expression" priority="294" dxfId="3">
      <formula>AA12=1</formula>
    </cfRule>
  </conditionalFormatting>
  <conditionalFormatting sqref="AB12">
    <cfRule type="expression" priority="295" dxfId="3">
      <formula>AB12=1</formula>
    </cfRule>
  </conditionalFormatting>
  <conditionalFormatting sqref="AC12">
    <cfRule type="expression" priority="296" dxfId="3">
      <formula>AC12=1</formula>
    </cfRule>
  </conditionalFormatting>
  <conditionalFormatting sqref="AD12">
    <cfRule type="expression" priority="297" dxfId="3">
      <formula>AD12=1</formula>
    </cfRule>
  </conditionalFormatting>
  <conditionalFormatting sqref="AE12">
    <cfRule type="expression" priority="298" dxfId="3">
      <formula>AE12=1</formula>
    </cfRule>
  </conditionalFormatting>
  <conditionalFormatting sqref="AF12">
    <cfRule type="expression" priority="299" dxfId="3">
      <formula>AF12=1</formula>
    </cfRule>
  </conditionalFormatting>
  <conditionalFormatting sqref="AG12">
    <cfRule type="expression" priority="300" dxfId="3">
      <formula>AG12=1</formula>
    </cfRule>
  </conditionalFormatting>
  <conditionalFormatting sqref="AH12">
    <cfRule type="expression" priority="301" dxfId="3">
      <formula>AH12=1</formula>
    </cfRule>
  </conditionalFormatting>
  <conditionalFormatting sqref="AI12">
    <cfRule type="expression" priority="302" dxfId="3">
      <formula>AI12=1</formula>
    </cfRule>
  </conditionalFormatting>
  <conditionalFormatting sqref="AJ12">
    <cfRule type="expression" priority="303" dxfId="3">
      <formula>AJ12=1</formula>
    </cfRule>
  </conditionalFormatting>
  <conditionalFormatting sqref="AK12">
    <cfRule type="expression" priority="304" dxfId="3">
      <formula>AK12=1</formula>
    </cfRule>
  </conditionalFormatting>
  <conditionalFormatting sqref="AL12">
    <cfRule type="expression" priority="305" dxfId="3">
      <formula>AL12=1</formula>
    </cfRule>
  </conditionalFormatting>
  <conditionalFormatting sqref="AM12">
    <cfRule type="expression" priority="306" dxfId="3">
      <formula>AM12=1</formula>
    </cfRule>
  </conditionalFormatting>
  <conditionalFormatting sqref="AN12">
    <cfRule type="expression" priority="307" dxfId="3">
      <formula>AN12=1</formula>
    </cfRule>
  </conditionalFormatting>
  <conditionalFormatting sqref="AO12">
    <cfRule type="expression" priority="308" dxfId="3">
      <formula>AO12=1</formula>
    </cfRule>
  </conditionalFormatting>
  <conditionalFormatting sqref="AP12">
    <cfRule type="expression" priority="309" dxfId="3">
      <formula>AP12=1</formula>
    </cfRule>
  </conditionalFormatting>
  <conditionalFormatting sqref="AQ12">
    <cfRule type="expression" priority="310" dxfId="3">
      <formula>AQ12=1</formula>
    </cfRule>
  </conditionalFormatting>
  <conditionalFormatting sqref="AR12">
    <cfRule type="expression" priority="311" dxfId="3">
      <formula>AR12=1</formula>
    </cfRule>
  </conditionalFormatting>
  <conditionalFormatting sqref="AS12">
    <cfRule type="expression" priority="312" dxfId="3">
      <formula>AS12=1</formula>
    </cfRule>
  </conditionalFormatting>
  <conditionalFormatting sqref="G13">
    <cfRule type="expression" priority="313" dxfId="3">
      <formula>G13=1</formula>
    </cfRule>
  </conditionalFormatting>
  <conditionalFormatting sqref="H13">
    <cfRule type="expression" priority="314" dxfId="3">
      <formula>H13=1</formula>
    </cfRule>
  </conditionalFormatting>
  <conditionalFormatting sqref="I13">
    <cfRule type="expression" priority="315" dxfId="3">
      <formula>I13=1</formula>
    </cfRule>
  </conditionalFormatting>
  <conditionalFormatting sqref="J13">
    <cfRule type="expression" priority="316" dxfId="3">
      <formula>J13=1</formula>
    </cfRule>
  </conditionalFormatting>
  <conditionalFormatting sqref="K13">
    <cfRule type="expression" priority="317" dxfId="3">
      <formula>K13=1</formula>
    </cfRule>
  </conditionalFormatting>
  <conditionalFormatting sqref="L13">
    <cfRule type="expression" priority="318" dxfId="3">
      <formula>L13=1</formula>
    </cfRule>
  </conditionalFormatting>
  <conditionalFormatting sqref="M13">
    <cfRule type="expression" priority="319" dxfId="3">
      <formula>M13=1</formula>
    </cfRule>
  </conditionalFormatting>
  <conditionalFormatting sqref="N13">
    <cfRule type="expression" priority="320" dxfId="3">
      <formula>N13=1</formula>
    </cfRule>
  </conditionalFormatting>
  <conditionalFormatting sqref="O13">
    <cfRule type="expression" priority="321" dxfId="3">
      <formula>O13=1</formula>
    </cfRule>
  </conditionalFormatting>
  <conditionalFormatting sqref="P13">
    <cfRule type="expression" priority="322" dxfId="3">
      <formula>P13=1</formula>
    </cfRule>
  </conditionalFormatting>
  <conditionalFormatting sqref="Q13">
    <cfRule type="expression" priority="323" dxfId="3">
      <formula>Q13=1</formula>
    </cfRule>
  </conditionalFormatting>
  <conditionalFormatting sqref="R13">
    <cfRule type="expression" priority="324" dxfId="3">
      <formula>R13=1</formula>
    </cfRule>
  </conditionalFormatting>
  <conditionalFormatting sqref="S13">
    <cfRule type="expression" priority="325" dxfId="3">
      <formula>S13=1</formula>
    </cfRule>
  </conditionalFormatting>
  <conditionalFormatting sqref="T13">
    <cfRule type="expression" priority="326" dxfId="3">
      <formula>T13=1</formula>
    </cfRule>
  </conditionalFormatting>
  <conditionalFormatting sqref="U13">
    <cfRule type="expression" priority="327" dxfId="3">
      <formula>U13=1</formula>
    </cfRule>
  </conditionalFormatting>
  <conditionalFormatting sqref="V13">
    <cfRule type="expression" priority="328" dxfId="3">
      <formula>V13=1</formula>
    </cfRule>
  </conditionalFormatting>
  <conditionalFormatting sqref="W13">
    <cfRule type="expression" priority="329" dxfId="3">
      <formula>W13=1</formula>
    </cfRule>
  </conditionalFormatting>
  <conditionalFormatting sqref="X13">
    <cfRule type="expression" priority="330" dxfId="3">
      <formula>X13=1</formula>
    </cfRule>
  </conditionalFormatting>
  <conditionalFormatting sqref="Y13">
    <cfRule type="expression" priority="331" dxfId="3">
      <formula>Y13=1</formula>
    </cfRule>
  </conditionalFormatting>
  <conditionalFormatting sqref="Z13">
    <cfRule type="expression" priority="332" dxfId="3">
      <formula>Z13=1</formula>
    </cfRule>
  </conditionalFormatting>
  <conditionalFormatting sqref="AA13">
    <cfRule type="expression" priority="333" dxfId="3">
      <formula>AA13=1</formula>
    </cfRule>
  </conditionalFormatting>
  <conditionalFormatting sqref="AB13">
    <cfRule type="expression" priority="334" dxfId="3">
      <formula>AB13=1</formula>
    </cfRule>
  </conditionalFormatting>
  <conditionalFormatting sqref="AC13">
    <cfRule type="expression" priority="335" dxfId="3">
      <formula>AC13=1</formula>
    </cfRule>
  </conditionalFormatting>
  <conditionalFormatting sqref="AD13">
    <cfRule type="expression" priority="336" dxfId="3">
      <formula>AD13=1</formula>
    </cfRule>
  </conditionalFormatting>
  <conditionalFormatting sqref="AE13">
    <cfRule type="expression" priority="337" dxfId="3">
      <formula>AE13=1</formula>
    </cfRule>
  </conditionalFormatting>
  <conditionalFormatting sqref="AF13">
    <cfRule type="expression" priority="338" dxfId="3">
      <formula>AF13=1</formula>
    </cfRule>
  </conditionalFormatting>
  <conditionalFormatting sqref="AG13">
    <cfRule type="expression" priority="339" dxfId="3">
      <formula>AG13=1</formula>
    </cfRule>
  </conditionalFormatting>
  <conditionalFormatting sqref="AH13">
    <cfRule type="expression" priority="340" dxfId="3">
      <formula>AH13=1</formula>
    </cfRule>
  </conditionalFormatting>
  <conditionalFormatting sqref="AI13">
    <cfRule type="expression" priority="341" dxfId="3">
      <formula>AI13=1</formula>
    </cfRule>
  </conditionalFormatting>
  <conditionalFormatting sqref="AJ13">
    <cfRule type="expression" priority="342" dxfId="3">
      <formula>AJ13=1</formula>
    </cfRule>
  </conditionalFormatting>
  <conditionalFormatting sqref="AK13">
    <cfRule type="expression" priority="343" dxfId="3">
      <formula>AK13=1</formula>
    </cfRule>
  </conditionalFormatting>
  <conditionalFormatting sqref="AL13">
    <cfRule type="expression" priority="344" dxfId="3">
      <formula>AL13=1</formula>
    </cfRule>
  </conditionalFormatting>
  <conditionalFormatting sqref="AM13">
    <cfRule type="expression" priority="345" dxfId="3">
      <formula>AM13=1</formula>
    </cfRule>
  </conditionalFormatting>
  <conditionalFormatting sqref="AN13">
    <cfRule type="expression" priority="346" dxfId="3">
      <formula>AN13=1</formula>
    </cfRule>
  </conditionalFormatting>
  <conditionalFormatting sqref="AO13">
    <cfRule type="expression" priority="347" dxfId="3">
      <formula>AO13=1</formula>
    </cfRule>
  </conditionalFormatting>
  <conditionalFormatting sqref="AP13">
    <cfRule type="expression" priority="348" dxfId="3">
      <formula>AP13=1</formula>
    </cfRule>
  </conditionalFormatting>
  <conditionalFormatting sqref="AQ13">
    <cfRule type="expression" priority="349" dxfId="3">
      <formula>AQ13=1</formula>
    </cfRule>
  </conditionalFormatting>
  <conditionalFormatting sqref="AR13">
    <cfRule type="expression" priority="350" dxfId="3">
      <formula>AR13=1</formula>
    </cfRule>
  </conditionalFormatting>
  <conditionalFormatting sqref="AS13">
    <cfRule type="expression" priority="351" dxfId="3">
      <formula>AS13=1</formula>
    </cfRule>
  </conditionalFormatting>
  <conditionalFormatting sqref="G14">
    <cfRule type="expression" priority="352" dxfId="3">
      <formula>G14=1</formula>
    </cfRule>
  </conditionalFormatting>
  <conditionalFormatting sqref="H14">
    <cfRule type="expression" priority="353" dxfId="3">
      <formula>H14=1</formula>
    </cfRule>
  </conditionalFormatting>
  <conditionalFormatting sqref="I14">
    <cfRule type="expression" priority="354" dxfId="3">
      <formula>I14=1</formula>
    </cfRule>
  </conditionalFormatting>
  <conditionalFormatting sqref="J14">
    <cfRule type="expression" priority="355" dxfId="3">
      <formula>J14=1</formula>
    </cfRule>
  </conditionalFormatting>
  <conditionalFormatting sqref="K14">
    <cfRule type="expression" priority="356" dxfId="3">
      <formula>K14=1</formula>
    </cfRule>
  </conditionalFormatting>
  <conditionalFormatting sqref="L14">
    <cfRule type="expression" priority="357" dxfId="3">
      <formula>L14=1</formula>
    </cfRule>
  </conditionalFormatting>
  <conditionalFormatting sqref="M14">
    <cfRule type="expression" priority="358" dxfId="3">
      <formula>M14=1</formula>
    </cfRule>
  </conditionalFormatting>
  <conditionalFormatting sqref="N14">
    <cfRule type="expression" priority="359" dxfId="3">
      <formula>N14=1</formula>
    </cfRule>
  </conditionalFormatting>
  <conditionalFormatting sqref="O14">
    <cfRule type="expression" priority="360" dxfId="3">
      <formula>O14=1</formula>
    </cfRule>
  </conditionalFormatting>
  <conditionalFormatting sqref="P14">
    <cfRule type="expression" priority="361" dxfId="3">
      <formula>P14=1</formula>
    </cfRule>
  </conditionalFormatting>
  <conditionalFormatting sqref="Q14">
    <cfRule type="expression" priority="362" dxfId="3">
      <formula>Q14=1</formula>
    </cfRule>
  </conditionalFormatting>
  <conditionalFormatting sqref="R14">
    <cfRule type="expression" priority="363" dxfId="3">
      <formula>R14=1</formula>
    </cfRule>
  </conditionalFormatting>
  <conditionalFormatting sqref="S14">
    <cfRule type="expression" priority="364" dxfId="3">
      <formula>S14=1</formula>
    </cfRule>
  </conditionalFormatting>
  <conditionalFormatting sqref="T14">
    <cfRule type="expression" priority="365" dxfId="3">
      <formula>T14=1</formula>
    </cfRule>
  </conditionalFormatting>
  <conditionalFormatting sqref="U14">
    <cfRule type="expression" priority="366" dxfId="3">
      <formula>U14=1</formula>
    </cfRule>
  </conditionalFormatting>
  <conditionalFormatting sqref="V14">
    <cfRule type="expression" priority="367" dxfId="3">
      <formula>V14=1</formula>
    </cfRule>
  </conditionalFormatting>
  <conditionalFormatting sqref="W14">
    <cfRule type="expression" priority="368" dxfId="3">
      <formula>W14=1</formula>
    </cfRule>
  </conditionalFormatting>
  <conditionalFormatting sqref="X14">
    <cfRule type="expression" priority="369" dxfId="3">
      <formula>X14=1</formula>
    </cfRule>
  </conditionalFormatting>
  <conditionalFormatting sqref="Y14">
    <cfRule type="expression" priority="370" dxfId="3">
      <formula>Y14=1</formula>
    </cfRule>
  </conditionalFormatting>
  <conditionalFormatting sqref="Z14">
    <cfRule type="expression" priority="371" dxfId="3">
      <formula>Z14=1</formula>
    </cfRule>
  </conditionalFormatting>
  <conditionalFormatting sqref="AA14">
    <cfRule type="expression" priority="372" dxfId="3">
      <formula>AA14=1</formula>
    </cfRule>
  </conditionalFormatting>
  <conditionalFormatting sqref="AB14">
    <cfRule type="expression" priority="373" dxfId="3">
      <formula>AB14=1</formula>
    </cfRule>
  </conditionalFormatting>
  <conditionalFormatting sqref="AC14">
    <cfRule type="expression" priority="374" dxfId="3">
      <formula>AC14=1</formula>
    </cfRule>
  </conditionalFormatting>
  <conditionalFormatting sqref="AD14">
    <cfRule type="expression" priority="375" dxfId="3">
      <formula>AD14=1</formula>
    </cfRule>
  </conditionalFormatting>
  <conditionalFormatting sqref="AE14">
    <cfRule type="expression" priority="376" dxfId="3">
      <formula>AE14=1</formula>
    </cfRule>
  </conditionalFormatting>
  <conditionalFormatting sqref="AF14">
    <cfRule type="expression" priority="377" dxfId="3">
      <formula>AF14=1</formula>
    </cfRule>
  </conditionalFormatting>
  <conditionalFormatting sqref="AG14">
    <cfRule type="expression" priority="378" dxfId="3">
      <formula>AG14=1</formula>
    </cfRule>
  </conditionalFormatting>
  <conditionalFormatting sqref="AH14">
    <cfRule type="expression" priority="379" dxfId="3">
      <formula>AH14=1</formula>
    </cfRule>
  </conditionalFormatting>
  <conditionalFormatting sqref="AI14">
    <cfRule type="expression" priority="380" dxfId="3">
      <formula>AI14=1</formula>
    </cfRule>
  </conditionalFormatting>
  <conditionalFormatting sqref="AJ14">
    <cfRule type="expression" priority="381" dxfId="3">
      <formula>AJ14=1</formula>
    </cfRule>
  </conditionalFormatting>
  <conditionalFormatting sqref="AK14">
    <cfRule type="expression" priority="382" dxfId="3">
      <formula>AK14=1</formula>
    </cfRule>
  </conditionalFormatting>
  <conditionalFormatting sqref="AL14">
    <cfRule type="expression" priority="383" dxfId="3">
      <formula>AL14=1</formula>
    </cfRule>
  </conditionalFormatting>
  <conditionalFormatting sqref="AM14">
    <cfRule type="expression" priority="384" dxfId="3">
      <formula>AM14=1</formula>
    </cfRule>
  </conditionalFormatting>
  <conditionalFormatting sqref="AN14">
    <cfRule type="expression" priority="385" dxfId="3">
      <formula>AN14=1</formula>
    </cfRule>
  </conditionalFormatting>
  <conditionalFormatting sqref="AO14">
    <cfRule type="expression" priority="386" dxfId="3">
      <formula>AO14=1</formula>
    </cfRule>
  </conditionalFormatting>
  <conditionalFormatting sqref="AP14">
    <cfRule type="expression" priority="387" dxfId="3">
      <formula>AP14=1</formula>
    </cfRule>
  </conditionalFormatting>
  <conditionalFormatting sqref="AQ14">
    <cfRule type="expression" priority="388" dxfId="3">
      <formula>AQ14=1</formula>
    </cfRule>
  </conditionalFormatting>
  <conditionalFormatting sqref="AR14">
    <cfRule type="expression" priority="389" dxfId="3">
      <formula>AR14=1</formula>
    </cfRule>
  </conditionalFormatting>
  <conditionalFormatting sqref="AS14">
    <cfRule type="expression" priority="390" dxfId="3">
      <formula>AS14=1</formula>
    </cfRule>
  </conditionalFormatting>
  <conditionalFormatting sqref="G15">
    <cfRule type="expression" priority="391" dxfId="3">
      <formula>G15=1</formula>
    </cfRule>
  </conditionalFormatting>
  <conditionalFormatting sqref="H15">
    <cfRule type="expression" priority="392" dxfId="3">
      <formula>H15=1</formula>
    </cfRule>
  </conditionalFormatting>
  <conditionalFormatting sqref="I15">
    <cfRule type="expression" priority="393" dxfId="3">
      <formula>I15=1</formula>
    </cfRule>
  </conditionalFormatting>
  <conditionalFormatting sqref="J15">
    <cfRule type="expression" priority="394" dxfId="3">
      <formula>J15=1</formula>
    </cfRule>
  </conditionalFormatting>
  <conditionalFormatting sqref="K15">
    <cfRule type="expression" priority="395" dxfId="3">
      <formula>K15=1</formula>
    </cfRule>
  </conditionalFormatting>
  <conditionalFormatting sqref="L15">
    <cfRule type="expression" priority="396" dxfId="3">
      <formula>L15=1</formula>
    </cfRule>
  </conditionalFormatting>
  <conditionalFormatting sqref="M15">
    <cfRule type="expression" priority="397" dxfId="3">
      <formula>M15=1</formula>
    </cfRule>
  </conditionalFormatting>
  <conditionalFormatting sqref="N15">
    <cfRule type="expression" priority="398" dxfId="3">
      <formula>N15=1</formula>
    </cfRule>
  </conditionalFormatting>
  <conditionalFormatting sqref="O15">
    <cfRule type="expression" priority="399" dxfId="3">
      <formula>O15=1</formula>
    </cfRule>
  </conditionalFormatting>
  <conditionalFormatting sqref="P15">
    <cfRule type="expression" priority="400" dxfId="3">
      <formula>P15=1</formula>
    </cfRule>
  </conditionalFormatting>
  <conditionalFormatting sqref="Q15">
    <cfRule type="expression" priority="401" dxfId="3">
      <formula>Q15=1</formula>
    </cfRule>
  </conditionalFormatting>
  <conditionalFormatting sqref="R15">
    <cfRule type="expression" priority="402" dxfId="3">
      <formula>R15=1</formula>
    </cfRule>
  </conditionalFormatting>
  <conditionalFormatting sqref="S15">
    <cfRule type="expression" priority="403" dxfId="3">
      <formula>S15=1</formula>
    </cfRule>
  </conditionalFormatting>
  <conditionalFormatting sqref="T15">
    <cfRule type="expression" priority="404" dxfId="3">
      <formula>T15=1</formula>
    </cfRule>
  </conditionalFormatting>
  <conditionalFormatting sqref="U15">
    <cfRule type="expression" priority="405" dxfId="3">
      <formula>U15=1</formula>
    </cfRule>
  </conditionalFormatting>
  <conditionalFormatting sqref="V15">
    <cfRule type="expression" priority="406" dxfId="3">
      <formula>V15=1</formula>
    </cfRule>
  </conditionalFormatting>
  <conditionalFormatting sqref="W15">
    <cfRule type="expression" priority="407" dxfId="3">
      <formula>W15=1</formula>
    </cfRule>
  </conditionalFormatting>
  <conditionalFormatting sqref="X15">
    <cfRule type="expression" priority="408" dxfId="3">
      <formula>X15=1</formula>
    </cfRule>
  </conditionalFormatting>
  <conditionalFormatting sqref="Y15">
    <cfRule type="expression" priority="409" dxfId="3">
      <formula>Y15=1</formula>
    </cfRule>
  </conditionalFormatting>
  <conditionalFormatting sqref="Z15">
    <cfRule type="expression" priority="410" dxfId="3">
      <formula>Z15=1</formula>
    </cfRule>
  </conditionalFormatting>
  <conditionalFormatting sqref="AA15">
    <cfRule type="expression" priority="411" dxfId="3">
      <formula>AA15=1</formula>
    </cfRule>
  </conditionalFormatting>
  <conditionalFormatting sqref="AB15">
    <cfRule type="expression" priority="412" dxfId="3">
      <formula>AB15=1</formula>
    </cfRule>
  </conditionalFormatting>
  <conditionalFormatting sqref="AC15">
    <cfRule type="expression" priority="413" dxfId="3">
      <formula>AC15=1</formula>
    </cfRule>
  </conditionalFormatting>
  <conditionalFormatting sqref="AD15">
    <cfRule type="expression" priority="414" dxfId="3">
      <formula>AD15=1</formula>
    </cfRule>
  </conditionalFormatting>
  <conditionalFormatting sqref="AE15">
    <cfRule type="expression" priority="415" dxfId="3">
      <formula>AE15=1</formula>
    </cfRule>
  </conditionalFormatting>
  <conditionalFormatting sqref="AF15">
    <cfRule type="expression" priority="416" dxfId="3">
      <formula>AF15=1</formula>
    </cfRule>
  </conditionalFormatting>
  <conditionalFormatting sqref="AG15">
    <cfRule type="expression" priority="417" dxfId="3">
      <formula>AG15=1</formula>
    </cfRule>
  </conditionalFormatting>
  <conditionalFormatting sqref="AH15">
    <cfRule type="expression" priority="418" dxfId="3">
      <formula>AH15=1</formula>
    </cfRule>
  </conditionalFormatting>
  <conditionalFormatting sqref="AI15">
    <cfRule type="expression" priority="419" dxfId="3">
      <formula>AI15=1</formula>
    </cfRule>
  </conditionalFormatting>
  <conditionalFormatting sqref="AJ15">
    <cfRule type="expression" priority="420" dxfId="3">
      <formula>AJ15=1</formula>
    </cfRule>
  </conditionalFormatting>
  <conditionalFormatting sqref="AK15">
    <cfRule type="expression" priority="421" dxfId="3">
      <formula>AK15=1</formula>
    </cfRule>
  </conditionalFormatting>
  <conditionalFormatting sqref="AL15">
    <cfRule type="expression" priority="422" dxfId="3">
      <formula>AL15=1</formula>
    </cfRule>
  </conditionalFormatting>
  <conditionalFormatting sqref="AM15">
    <cfRule type="expression" priority="423" dxfId="3">
      <formula>AM15=1</formula>
    </cfRule>
  </conditionalFormatting>
  <conditionalFormatting sqref="AN15">
    <cfRule type="expression" priority="424" dxfId="3">
      <formula>AN15=1</formula>
    </cfRule>
  </conditionalFormatting>
  <conditionalFormatting sqref="AO15">
    <cfRule type="expression" priority="425" dxfId="3">
      <formula>AO15=1</formula>
    </cfRule>
  </conditionalFormatting>
  <conditionalFormatting sqref="AP15">
    <cfRule type="expression" priority="426" dxfId="3">
      <formula>AP15=1</formula>
    </cfRule>
  </conditionalFormatting>
  <conditionalFormatting sqref="AQ15">
    <cfRule type="expression" priority="427" dxfId="3">
      <formula>AQ15=1</formula>
    </cfRule>
  </conditionalFormatting>
  <conditionalFormatting sqref="AR15">
    <cfRule type="expression" priority="428" dxfId="3">
      <formula>AR15=1</formula>
    </cfRule>
  </conditionalFormatting>
  <conditionalFormatting sqref="AS15">
    <cfRule type="expression" priority="429" dxfId="3">
      <formula>AS15=1</formula>
    </cfRule>
  </conditionalFormatting>
  <conditionalFormatting sqref="G16">
    <cfRule type="expression" priority="430" dxfId="3">
      <formula>G16=1</formula>
    </cfRule>
  </conditionalFormatting>
  <conditionalFormatting sqref="H16">
    <cfRule type="expression" priority="431" dxfId="3">
      <formula>H16=1</formula>
    </cfRule>
  </conditionalFormatting>
  <conditionalFormatting sqref="I16">
    <cfRule type="expression" priority="432" dxfId="3">
      <formula>I16=1</formula>
    </cfRule>
  </conditionalFormatting>
  <conditionalFormatting sqref="J16">
    <cfRule type="expression" priority="433" dxfId="3">
      <formula>J16=1</formula>
    </cfRule>
  </conditionalFormatting>
  <conditionalFormatting sqref="K16">
    <cfRule type="expression" priority="434" dxfId="3">
      <formula>K16=1</formula>
    </cfRule>
  </conditionalFormatting>
  <conditionalFormatting sqref="L16">
    <cfRule type="expression" priority="435" dxfId="3">
      <formula>L16=1</formula>
    </cfRule>
  </conditionalFormatting>
  <conditionalFormatting sqref="M16">
    <cfRule type="expression" priority="436" dxfId="3">
      <formula>M16=1</formula>
    </cfRule>
  </conditionalFormatting>
  <conditionalFormatting sqref="N16">
    <cfRule type="expression" priority="437" dxfId="3">
      <formula>N16=1</formula>
    </cfRule>
  </conditionalFormatting>
  <conditionalFormatting sqref="O16">
    <cfRule type="expression" priority="438" dxfId="3">
      <formula>O16=1</formula>
    </cfRule>
  </conditionalFormatting>
  <conditionalFormatting sqref="P16">
    <cfRule type="expression" priority="439" dxfId="3">
      <formula>P16=1</formula>
    </cfRule>
  </conditionalFormatting>
  <conditionalFormatting sqref="Q16">
    <cfRule type="expression" priority="440" dxfId="3">
      <formula>Q16=1</formula>
    </cfRule>
  </conditionalFormatting>
  <conditionalFormatting sqref="R16">
    <cfRule type="expression" priority="441" dxfId="3">
      <formula>R16=1</formula>
    </cfRule>
  </conditionalFormatting>
  <conditionalFormatting sqref="S16">
    <cfRule type="expression" priority="442" dxfId="3">
      <formula>S16=1</formula>
    </cfRule>
  </conditionalFormatting>
  <conditionalFormatting sqref="T16">
    <cfRule type="expression" priority="443" dxfId="3">
      <formula>T16=1</formula>
    </cfRule>
  </conditionalFormatting>
  <conditionalFormatting sqref="U16">
    <cfRule type="expression" priority="444" dxfId="3">
      <formula>U16=1</formula>
    </cfRule>
  </conditionalFormatting>
  <conditionalFormatting sqref="V16">
    <cfRule type="expression" priority="445" dxfId="3">
      <formula>V16=1</formula>
    </cfRule>
  </conditionalFormatting>
  <conditionalFormatting sqref="W16">
    <cfRule type="expression" priority="446" dxfId="3">
      <formula>W16=1</formula>
    </cfRule>
  </conditionalFormatting>
  <conditionalFormatting sqref="X16">
    <cfRule type="expression" priority="447" dxfId="3">
      <formula>X16=1</formula>
    </cfRule>
  </conditionalFormatting>
  <conditionalFormatting sqref="Y16">
    <cfRule type="expression" priority="448" dxfId="3">
      <formula>Y16=1</formula>
    </cfRule>
  </conditionalFormatting>
  <conditionalFormatting sqref="Z16">
    <cfRule type="expression" priority="449" dxfId="3">
      <formula>Z16=1</formula>
    </cfRule>
  </conditionalFormatting>
  <conditionalFormatting sqref="AA16">
    <cfRule type="expression" priority="450" dxfId="3">
      <formula>AA16=1</formula>
    </cfRule>
  </conditionalFormatting>
  <conditionalFormatting sqref="AB16">
    <cfRule type="expression" priority="451" dxfId="3">
      <formula>AB16=1</formula>
    </cfRule>
  </conditionalFormatting>
  <conditionalFormatting sqref="AC16">
    <cfRule type="expression" priority="452" dxfId="3">
      <formula>AC16=1</formula>
    </cfRule>
  </conditionalFormatting>
  <conditionalFormatting sqref="AD16">
    <cfRule type="expression" priority="453" dxfId="3">
      <formula>AD16=1</formula>
    </cfRule>
  </conditionalFormatting>
  <conditionalFormatting sqref="AE16">
    <cfRule type="expression" priority="454" dxfId="3">
      <formula>AE16=1</formula>
    </cfRule>
  </conditionalFormatting>
  <conditionalFormatting sqref="AF16">
    <cfRule type="expression" priority="455" dxfId="3">
      <formula>AF16=1</formula>
    </cfRule>
  </conditionalFormatting>
  <conditionalFormatting sqref="AG16">
    <cfRule type="expression" priority="456" dxfId="3">
      <formula>AG16=1</formula>
    </cfRule>
  </conditionalFormatting>
  <conditionalFormatting sqref="AH16">
    <cfRule type="expression" priority="457" dxfId="3">
      <formula>AH16=1</formula>
    </cfRule>
  </conditionalFormatting>
  <conditionalFormatting sqref="AI16">
    <cfRule type="expression" priority="458" dxfId="3">
      <formula>AI16=1</formula>
    </cfRule>
  </conditionalFormatting>
  <conditionalFormatting sqref="AJ16">
    <cfRule type="expression" priority="459" dxfId="3">
      <formula>AJ16=1</formula>
    </cfRule>
  </conditionalFormatting>
  <conditionalFormatting sqref="AK16">
    <cfRule type="expression" priority="460" dxfId="3">
      <formula>AK16=1</formula>
    </cfRule>
  </conditionalFormatting>
  <conditionalFormatting sqref="AL16">
    <cfRule type="expression" priority="461" dxfId="3">
      <formula>AL16=1</formula>
    </cfRule>
  </conditionalFormatting>
  <conditionalFormatting sqref="AM16">
    <cfRule type="expression" priority="462" dxfId="3">
      <formula>AM16=1</formula>
    </cfRule>
  </conditionalFormatting>
  <conditionalFormatting sqref="AN16">
    <cfRule type="expression" priority="463" dxfId="3">
      <formula>AN16=1</formula>
    </cfRule>
  </conditionalFormatting>
  <conditionalFormatting sqref="AO16">
    <cfRule type="expression" priority="464" dxfId="3">
      <formula>AO16=1</formula>
    </cfRule>
  </conditionalFormatting>
  <conditionalFormatting sqref="AP16">
    <cfRule type="expression" priority="465" dxfId="3">
      <formula>AP16=1</formula>
    </cfRule>
  </conditionalFormatting>
  <conditionalFormatting sqref="AQ16">
    <cfRule type="expression" priority="466" dxfId="3">
      <formula>AQ16=1</formula>
    </cfRule>
  </conditionalFormatting>
  <conditionalFormatting sqref="AR16">
    <cfRule type="expression" priority="467" dxfId="3">
      <formula>AR16=1</formula>
    </cfRule>
  </conditionalFormatting>
  <conditionalFormatting sqref="AS16">
    <cfRule type="expression" priority="468" dxfId="3">
      <formula>AS16=1</formula>
    </cfRule>
  </conditionalFormatting>
  <conditionalFormatting sqref="G17">
    <cfRule type="expression" priority="469" dxfId="3">
      <formula>G17=1</formula>
    </cfRule>
  </conditionalFormatting>
  <conditionalFormatting sqref="H17">
    <cfRule type="expression" priority="470" dxfId="3">
      <formula>H17=1</formula>
    </cfRule>
  </conditionalFormatting>
  <conditionalFormatting sqref="I17">
    <cfRule type="expression" priority="471" dxfId="3">
      <formula>I17=1</formula>
    </cfRule>
  </conditionalFormatting>
  <conditionalFormatting sqref="J17">
    <cfRule type="expression" priority="472" dxfId="3">
      <formula>J17=1</formula>
    </cfRule>
  </conditionalFormatting>
  <conditionalFormatting sqref="K17">
    <cfRule type="expression" priority="473" dxfId="3">
      <formula>K17=1</formula>
    </cfRule>
  </conditionalFormatting>
  <conditionalFormatting sqref="L17">
    <cfRule type="expression" priority="474" dxfId="3">
      <formula>L17=1</formula>
    </cfRule>
  </conditionalFormatting>
  <conditionalFormatting sqref="M17">
    <cfRule type="expression" priority="475" dxfId="3">
      <formula>M17=1</formula>
    </cfRule>
  </conditionalFormatting>
  <conditionalFormatting sqref="N17">
    <cfRule type="expression" priority="476" dxfId="3">
      <formula>N17=1</formula>
    </cfRule>
  </conditionalFormatting>
  <conditionalFormatting sqref="O17">
    <cfRule type="expression" priority="477" dxfId="3">
      <formula>O17=1</formula>
    </cfRule>
  </conditionalFormatting>
  <conditionalFormatting sqref="P17">
    <cfRule type="expression" priority="478" dxfId="3">
      <formula>P17=1</formula>
    </cfRule>
  </conditionalFormatting>
  <conditionalFormatting sqref="Q17">
    <cfRule type="expression" priority="479" dxfId="3">
      <formula>Q17=1</formula>
    </cfRule>
  </conditionalFormatting>
  <conditionalFormatting sqref="R17">
    <cfRule type="expression" priority="480" dxfId="3">
      <formula>R17=1</formula>
    </cfRule>
  </conditionalFormatting>
  <conditionalFormatting sqref="S17">
    <cfRule type="expression" priority="481" dxfId="3">
      <formula>S17=1</formula>
    </cfRule>
  </conditionalFormatting>
  <conditionalFormatting sqref="T17">
    <cfRule type="expression" priority="482" dxfId="3">
      <formula>T17=1</formula>
    </cfRule>
  </conditionalFormatting>
  <conditionalFormatting sqref="U17">
    <cfRule type="expression" priority="483" dxfId="3">
      <formula>U17=1</formula>
    </cfRule>
  </conditionalFormatting>
  <conditionalFormatting sqref="V17">
    <cfRule type="expression" priority="484" dxfId="3">
      <formula>V17=1</formula>
    </cfRule>
  </conditionalFormatting>
  <conditionalFormatting sqref="W17">
    <cfRule type="expression" priority="485" dxfId="3">
      <formula>W17=1</formula>
    </cfRule>
  </conditionalFormatting>
  <conditionalFormatting sqref="X17">
    <cfRule type="expression" priority="486" dxfId="3">
      <formula>X17=1</formula>
    </cfRule>
  </conditionalFormatting>
  <conditionalFormatting sqref="Y17">
    <cfRule type="expression" priority="487" dxfId="3">
      <formula>Y17=1</formula>
    </cfRule>
  </conditionalFormatting>
  <conditionalFormatting sqref="Z17">
    <cfRule type="expression" priority="488" dxfId="3">
      <formula>Z17=1</formula>
    </cfRule>
  </conditionalFormatting>
  <conditionalFormatting sqref="AA17">
    <cfRule type="expression" priority="489" dxfId="3">
      <formula>AA17=1</formula>
    </cfRule>
  </conditionalFormatting>
  <conditionalFormatting sqref="AB17">
    <cfRule type="expression" priority="490" dxfId="3">
      <formula>AB17=1</formula>
    </cfRule>
  </conditionalFormatting>
  <conditionalFormatting sqref="AC17">
    <cfRule type="expression" priority="491" dxfId="3">
      <formula>AC17=1</formula>
    </cfRule>
  </conditionalFormatting>
  <conditionalFormatting sqref="AD17">
    <cfRule type="expression" priority="492" dxfId="3">
      <formula>AD17=1</formula>
    </cfRule>
  </conditionalFormatting>
  <conditionalFormatting sqref="AE17">
    <cfRule type="expression" priority="493" dxfId="3">
      <formula>AE17=1</formula>
    </cfRule>
  </conditionalFormatting>
  <conditionalFormatting sqref="AF17">
    <cfRule type="expression" priority="494" dxfId="3">
      <formula>AF17=1</formula>
    </cfRule>
  </conditionalFormatting>
  <conditionalFormatting sqref="AG17">
    <cfRule type="expression" priority="495" dxfId="3">
      <formula>AG17=1</formula>
    </cfRule>
  </conditionalFormatting>
  <conditionalFormatting sqref="AH17">
    <cfRule type="expression" priority="496" dxfId="3">
      <formula>AH17=1</formula>
    </cfRule>
  </conditionalFormatting>
  <conditionalFormatting sqref="AI17">
    <cfRule type="expression" priority="497" dxfId="3">
      <formula>AI17=1</formula>
    </cfRule>
  </conditionalFormatting>
  <conditionalFormatting sqref="AJ17">
    <cfRule type="expression" priority="498" dxfId="3">
      <formula>AJ17=1</formula>
    </cfRule>
  </conditionalFormatting>
  <conditionalFormatting sqref="AK17">
    <cfRule type="expression" priority="499" dxfId="3">
      <formula>AK17=1</formula>
    </cfRule>
  </conditionalFormatting>
  <conditionalFormatting sqref="AL17">
    <cfRule type="expression" priority="500" dxfId="3">
      <formula>AL17=1</formula>
    </cfRule>
  </conditionalFormatting>
  <conditionalFormatting sqref="AM17">
    <cfRule type="expression" priority="501" dxfId="3">
      <formula>AM17=1</formula>
    </cfRule>
  </conditionalFormatting>
  <conditionalFormatting sqref="AN17">
    <cfRule type="expression" priority="502" dxfId="3">
      <formula>AN17=1</formula>
    </cfRule>
  </conditionalFormatting>
  <conditionalFormatting sqref="AO17">
    <cfRule type="expression" priority="503" dxfId="3">
      <formula>AO17=1</formula>
    </cfRule>
  </conditionalFormatting>
  <conditionalFormatting sqref="AP17">
    <cfRule type="expression" priority="504" dxfId="3">
      <formula>AP17=1</formula>
    </cfRule>
  </conditionalFormatting>
  <conditionalFormatting sqref="AQ17">
    <cfRule type="expression" priority="505" dxfId="3">
      <formula>AQ17=1</formula>
    </cfRule>
  </conditionalFormatting>
  <conditionalFormatting sqref="AR17">
    <cfRule type="expression" priority="506" dxfId="3">
      <formula>AR17=1</formula>
    </cfRule>
  </conditionalFormatting>
  <conditionalFormatting sqref="AS17">
    <cfRule type="expression" priority="507" dxfId="3">
      <formula>AS17=1</formula>
    </cfRule>
  </conditionalFormatting>
  <conditionalFormatting sqref="G18">
    <cfRule type="expression" priority="508" dxfId="3">
      <formula>G18=1</formula>
    </cfRule>
  </conditionalFormatting>
  <conditionalFormatting sqref="H18">
    <cfRule type="expression" priority="509" dxfId="3">
      <formula>H18=1</formula>
    </cfRule>
  </conditionalFormatting>
  <conditionalFormatting sqref="I18">
    <cfRule type="expression" priority="510" dxfId="3">
      <formula>I18=1</formula>
    </cfRule>
  </conditionalFormatting>
  <conditionalFormatting sqref="J18">
    <cfRule type="expression" priority="511" dxfId="3">
      <formula>J18=1</formula>
    </cfRule>
  </conditionalFormatting>
  <conditionalFormatting sqref="K18">
    <cfRule type="expression" priority="512" dxfId="3">
      <formula>K18=1</formula>
    </cfRule>
  </conditionalFormatting>
  <conditionalFormatting sqref="L18">
    <cfRule type="expression" priority="513" dxfId="3">
      <formula>L18=1</formula>
    </cfRule>
  </conditionalFormatting>
  <conditionalFormatting sqref="M18">
    <cfRule type="expression" priority="514" dxfId="3">
      <formula>M18=1</formula>
    </cfRule>
  </conditionalFormatting>
  <conditionalFormatting sqref="N18">
    <cfRule type="expression" priority="515" dxfId="3">
      <formula>N18=1</formula>
    </cfRule>
  </conditionalFormatting>
  <conditionalFormatting sqref="O18">
    <cfRule type="expression" priority="516" dxfId="3">
      <formula>O18=1</formula>
    </cfRule>
  </conditionalFormatting>
  <conditionalFormatting sqref="P18">
    <cfRule type="expression" priority="517" dxfId="3">
      <formula>P18=1</formula>
    </cfRule>
  </conditionalFormatting>
  <conditionalFormatting sqref="Q18">
    <cfRule type="expression" priority="518" dxfId="3">
      <formula>Q18=1</formula>
    </cfRule>
  </conditionalFormatting>
  <conditionalFormatting sqref="R18">
    <cfRule type="expression" priority="519" dxfId="3">
      <formula>R18=1</formula>
    </cfRule>
  </conditionalFormatting>
  <conditionalFormatting sqref="S18">
    <cfRule type="expression" priority="520" dxfId="3">
      <formula>S18=1</formula>
    </cfRule>
  </conditionalFormatting>
  <conditionalFormatting sqref="T18">
    <cfRule type="expression" priority="521" dxfId="3">
      <formula>T18=1</formula>
    </cfRule>
  </conditionalFormatting>
  <conditionalFormatting sqref="U18">
    <cfRule type="expression" priority="522" dxfId="3">
      <formula>U18=1</formula>
    </cfRule>
  </conditionalFormatting>
  <conditionalFormatting sqref="V18">
    <cfRule type="expression" priority="523" dxfId="3">
      <formula>V18=1</formula>
    </cfRule>
  </conditionalFormatting>
  <conditionalFormatting sqref="W18">
    <cfRule type="expression" priority="524" dxfId="3">
      <formula>W18=1</formula>
    </cfRule>
  </conditionalFormatting>
  <conditionalFormatting sqref="X18">
    <cfRule type="expression" priority="525" dxfId="3">
      <formula>X18=1</formula>
    </cfRule>
  </conditionalFormatting>
  <conditionalFormatting sqref="Y18">
    <cfRule type="expression" priority="526" dxfId="3">
      <formula>Y18=1</formula>
    </cfRule>
  </conditionalFormatting>
  <conditionalFormatting sqref="Z18">
    <cfRule type="expression" priority="527" dxfId="3">
      <formula>Z18=1</formula>
    </cfRule>
  </conditionalFormatting>
  <conditionalFormatting sqref="AA18">
    <cfRule type="expression" priority="528" dxfId="3">
      <formula>AA18=1</formula>
    </cfRule>
  </conditionalFormatting>
  <conditionalFormatting sqref="AB18">
    <cfRule type="expression" priority="529" dxfId="3">
      <formula>AB18=1</formula>
    </cfRule>
  </conditionalFormatting>
  <conditionalFormatting sqref="AC18">
    <cfRule type="expression" priority="530" dxfId="3">
      <formula>AC18=1</formula>
    </cfRule>
  </conditionalFormatting>
  <conditionalFormatting sqref="AD18">
    <cfRule type="expression" priority="531" dxfId="3">
      <formula>AD18=1</formula>
    </cfRule>
  </conditionalFormatting>
  <conditionalFormatting sqref="AE18">
    <cfRule type="expression" priority="532" dxfId="3">
      <formula>AE18=1</formula>
    </cfRule>
  </conditionalFormatting>
  <conditionalFormatting sqref="AF18">
    <cfRule type="expression" priority="533" dxfId="3">
      <formula>AF18=1</formula>
    </cfRule>
  </conditionalFormatting>
  <conditionalFormatting sqref="AG18">
    <cfRule type="expression" priority="534" dxfId="3">
      <formula>AG18=1</formula>
    </cfRule>
  </conditionalFormatting>
  <conditionalFormatting sqref="AH18">
    <cfRule type="expression" priority="535" dxfId="3">
      <formula>AH18=1</formula>
    </cfRule>
  </conditionalFormatting>
  <conditionalFormatting sqref="AI18">
    <cfRule type="expression" priority="536" dxfId="3">
      <formula>AI18=1</formula>
    </cfRule>
  </conditionalFormatting>
  <conditionalFormatting sqref="AJ18">
    <cfRule type="expression" priority="537" dxfId="3">
      <formula>AJ18=1</formula>
    </cfRule>
  </conditionalFormatting>
  <conditionalFormatting sqref="AK18">
    <cfRule type="expression" priority="538" dxfId="3">
      <formula>AK18=1</formula>
    </cfRule>
  </conditionalFormatting>
  <conditionalFormatting sqref="AL18">
    <cfRule type="expression" priority="539" dxfId="3">
      <formula>AL18=1</formula>
    </cfRule>
  </conditionalFormatting>
  <conditionalFormatting sqref="AM18">
    <cfRule type="expression" priority="540" dxfId="3">
      <formula>AM18=1</formula>
    </cfRule>
  </conditionalFormatting>
  <conditionalFormatting sqref="AN18">
    <cfRule type="expression" priority="541" dxfId="3">
      <formula>AN18=1</formula>
    </cfRule>
  </conditionalFormatting>
  <conditionalFormatting sqref="AO18">
    <cfRule type="expression" priority="542" dxfId="3">
      <formula>AO18=1</formula>
    </cfRule>
  </conditionalFormatting>
  <conditionalFormatting sqref="AP18">
    <cfRule type="expression" priority="543" dxfId="3">
      <formula>AP18=1</formula>
    </cfRule>
  </conditionalFormatting>
  <conditionalFormatting sqref="AQ18">
    <cfRule type="expression" priority="544" dxfId="3">
      <formula>AQ18=1</formula>
    </cfRule>
  </conditionalFormatting>
  <conditionalFormatting sqref="AR18">
    <cfRule type="expression" priority="545" dxfId="3">
      <formula>AR18=1</formula>
    </cfRule>
  </conditionalFormatting>
  <conditionalFormatting sqref="AS18">
    <cfRule type="expression" priority="546" dxfId="3">
      <formula>AS18=1</formula>
    </cfRule>
  </conditionalFormatting>
  <conditionalFormatting sqref="G19">
    <cfRule type="expression" priority="547" dxfId="3">
      <formula>G19=1</formula>
    </cfRule>
  </conditionalFormatting>
  <conditionalFormatting sqref="H19">
    <cfRule type="expression" priority="548" dxfId="3">
      <formula>H19=1</formula>
    </cfRule>
  </conditionalFormatting>
  <conditionalFormatting sqref="I19">
    <cfRule type="expression" priority="549" dxfId="3">
      <formula>I19=1</formula>
    </cfRule>
  </conditionalFormatting>
  <conditionalFormatting sqref="J19">
    <cfRule type="expression" priority="550" dxfId="3">
      <formula>J19=1</formula>
    </cfRule>
  </conditionalFormatting>
  <conditionalFormatting sqref="K19">
    <cfRule type="expression" priority="551" dxfId="3">
      <formula>K19=1</formula>
    </cfRule>
  </conditionalFormatting>
  <conditionalFormatting sqref="L19">
    <cfRule type="expression" priority="552" dxfId="3">
      <formula>L19=1</formula>
    </cfRule>
  </conditionalFormatting>
  <conditionalFormatting sqref="M19">
    <cfRule type="expression" priority="553" dxfId="3">
      <formula>M19=1</formula>
    </cfRule>
  </conditionalFormatting>
  <conditionalFormatting sqref="N19">
    <cfRule type="expression" priority="554" dxfId="3">
      <formula>N19=1</formula>
    </cfRule>
  </conditionalFormatting>
  <conditionalFormatting sqref="O19">
    <cfRule type="expression" priority="555" dxfId="3">
      <formula>O19=1</formula>
    </cfRule>
  </conditionalFormatting>
  <conditionalFormatting sqref="P19">
    <cfRule type="expression" priority="556" dxfId="3">
      <formula>P19=1</formula>
    </cfRule>
  </conditionalFormatting>
  <conditionalFormatting sqref="Q19">
    <cfRule type="expression" priority="557" dxfId="3">
      <formula>Q19=1</formula>
    </cfRule>
  </conditionalFormatting>
  <conditionalFormatting sqref="R19">
    <cfRule type="expression" priority="558" dxfId="3">
      <formula>R19=1</formula>
    </cfRule>
  </conditionalFormatting>
  <conditionalFormatting sqref="S19">
    <cfRule type="expression" priority="559" dxfId="3">
      <formula>S19=1</formula>
    </cfRule>
  </conditionalFormatting>
  <conditionalFormatting sqref="T19">
    <cfRule type="expression" priority="560" dxfId="3">
      <formula>T19=1</formula>
    </cfRule>
  </conditionalFormatting>
  <conditionalFormatting sqref="U19">
    <cfRule type="expression" priority="561" dxfId="3">
      <formula>U19=1</formula>
    </cfRule>
  </conditionalFormatting>
  <conditionalFormatting sqref="V19">
    <cfRule type="expression" priority="562" dxfId="3">
      <formula>V19=1</formula>
    </cfRule>
  </conditionalFormatting>
  <conditionalFormatting sqref="W19">
    <cfRule type="expression" priority="563" dxfId="3">
      <formula>W19=1</formula>
    </cfRule>
  </conditionalFormatting>
  <conditionalFormatting sqref="X19">
    <cfRule type="expression" priority="564" dxfId="3">
      <formula>X19=1</formula>
    </cfRule>
  </conditionalFormatting>
  <conditionalFormatting sqref="Y19">
    <cfRule type="expression" priority="565" dxfId="3">
      <formula>Y19=1</formula>
    </cfRule>
  </conditionalFormatting>
  <conditionalFormatting sqref="Z19">
    <cfRule type="expression" priority="566" dxfId="3">
      <formula>Z19=1</formula>
    </cfRule>
  </conditionalFormatting>
  <conditionalFormatting sqref="AA19">
    <cfRule type="expression" priority="567" dxfId="3">
      <formula>AA19=1</formula>
    </cfRule>
  </conditionalFormatting>
  <conditionalFormatting sqref="AB19">
    <cfRule type="expression" priority="568" dxfId="3">
      <formula>AB19=1</formula>
    </cfRule>
  </conditionalFormatting>
  <conditionalFormatting sqref="AC19">
    <cfRule type="expression" priority="569" dxfId="3">
      <formula>AC19=1</formula>
    </cfRule>
  </conditionalFormatting>
  <conditionalFormatting sqref="AD19">
    <cfRule type="expression" priority="570" dxfId="3">
      <formula>AD19=1</formula>
    </cfRule>
  </conditionalFormatting>
  <conditionalFormatting sqref="AE19">
    <cfRule type="expression" priority="571" dxfId="3">
      <formula>AE19=1</formula>
    </cfRule>
  </conditionalFormatting>
  <conditionalFormatting sqref="AF19">
    <cfRule type="expression" priority="572" dxfId="3">
      <formula>AF19=1</formula>
    </cfRule>
  </conditionalFormatting>
  <conditionalFormatting sqref="AG19">
    <cfRule type="expression" priority="573" dxfId="3">
      <formula>AG19=1</formula>
    </cfRule>
  </conditionalFormatting>
  <conditionalFormatting sqref="AH19">
    <cfRule type="expression" priority="574" dxfId="3">
      <formula>AH19=1</formula>
    </cfRule>
  </conditionalFormatting>
  <conditionalFormatting sqref="AI19">
    <cfRule type="expression" priority="575" dxfId="3">
      <formula>AI19=1</formula>
    </cfRule>
  </conditionalFormatting>
  <conditionalFormatting sqref="AJ19">
    <cfRule type="expression" priority="576" dxfId="3">
      <formula>AJ19=1</formula>
    </cfRule>
  </conditionalFormatting>
  <conditionalFormatting sqref="AK19">
    <cfRule type="expression" priority="577" dxfId="3">
      <formula>AK19=1</formula>
    </cfRule>
  </conditionalFormatting>
  <conditionalFormatting sqref="AL19">
    <cfRule type="expression" priority="578" dxfId="3">
      <formula>AL19=1</formula>
    </cfRule>
  </conditionalFormatting>
  <conditionalFormatting sqref="AM19">
    <cfRule type="expression" priority="579" dxfId="3">
      <formula>AM19=1</formula>
    </cfRule>
  </conditionalFormatting>
  <conditionalFormatting sqref="AN19">
    <cfRule type="expression" priority="580" dxfId="3">
      <formula>AN19=1</formula>
    </cfRule>
  </conditionalFormatting>
  <conditionalFormatting sqref="AO19">
    <cfRule type="expression" priority="581" dxfId="3">
      <formula>AO19=1</formula>
    </cfRule>
  </conditionalFormatting>
  <conditionalFormatting sqref="AP19">
    <cfRule type="expression" priority="582" dxfId="3">
      <formula>AP19=1</formula>
    </cfRule>
  </conditionalFormatting>
  <conditionalFormatting sqref="AQ19">
    <cfRule type="expression" priority="583" dxfId="3">
      <formula>AQ19=1</formula>
    </cfRule>
  </conditionalFormatting>
  <conditionalFormatting sqref="AR19">
    <cfRule type="expression" priority="584" dxfId="3">
      <formula>AR19=1</formula>
    </cfRule>
  </conditionalFormatting>
  <conditionalFormatting sqref="AS19">
    <cfRule type="expression" priority="585" dxfId="3">
      <formula>AS19=1</formula>
    </cfRule>
  </conditionalFormatting>
  <conditionalFormatting sqref="G20">
    <cfRule type="expression" priority="586" dxfId="3">
      <formula>G20=1</formula>
    </cfRule>
  </conditionalFormatting>
  <conditionalFormatting sqref="H20">
    <cfRule type="expression" priority="587" dxfId="3">
      <formula>H20=1</formula>
    </cfRule>
  </conditionalFormatting>
  <conditionalFormatting sqref="I20">
    <cfRule type="expression" priority="588" dxfId="3">
      <formula>I20=1</formula>
    </cfRule>
  </conditionalFormatting>
  <conditionalFormatting sqref="J20">
    <cfRule type="expression" priority="589" dxfId="3">
      <formula>J20=1</formula>
    </cfRule>
  </conditionalFormatting>
  <conditionalFormatting sqref="K20">
    <cfRule type="expression" priority="590" dxfId="3">
      <formula>K20=1</formula>
    </cfRule>
  </conditionalFormatting>
  <conditionalFormatting sqref="L20">
    <cfRule type="expression" priority="591" dxfId="3">
      <formula>L20=1</formula>
    </cfRule>
  </conditionalFormatting>
  <conditionalFormatting sqref="M20">
    <cfRule type="expression" priority="592" dxfId="3">
      <formula>M20=1</formula>
    </cfRule>
  </conditionalFormatting>
  <conditionalFormatting sqref="N20">
    <cfRule type="expression" priority="593" dxfId="3">
      <formula>N20=1</formula>
    </cfRule>
  </conditionalFormatting>
  <conditionalFormatting sqref="O20">
    <cfRule type="expression" priority="594" dxfId="3">
      <formula>O20=1</formula>
    </cfRule>
  </conditionalFormatting>
  <conditionalFormatting sqref="P20">
    <cfRule type="expression" priority="595" dxfId="3">
      <formula>P20=1</formula>
    </cfRule>
  </conditionalFormatting>
  <conditionalFormatting sqref="Q20">
    <cfRule type="expression" priority="596" dxfId="3">
      <formula>Q20=1</formula>
    </cfRule>
  </conditionalFormatting>
  <conditionalFormatting sqref="R20">
    <cfRule type="expression" priority="597" dxfId="3">
      <formula>R20=1</formula>
    </cfRule>
  </conditionalFormatting>
  <conditionalFormatting sqref="S20">
    <cfRule type="expression" priority="598" dxfId="3">
      <formula>S20=1</formula>
    </cfRule>
  </conditionalFormatting>
  <conditionalFormatting sqref="T20">
    <cfRule type="expression" priority="599" dxfId="3">
      <formula>T20=1</formula>
    </cfRule>
  </conditionalFormatting>
  <conditionalFormatting sqref="U20">
    <cfRule type="expression" priority="600" dxfId="3">
      <formula>U20=1</formula>
    </cfRule>
  </conditionalFormatting>
  <conditionalFormatting sqref="V20">
    <cfRule type="expression" priority="601" dxfId="3">
      <formula>V20=1</formula>
    </cfRule>
  </conditionalFormatting>
  <conditionalFormatting sqref="W20">
    <cfRule type="expression" priority="602" dxfId="3">
      <formula>W20=1</formula>
    </cfRule>
  </conditionalFormatting>
  <conditionalFormatting sqref="X20">
    <cfRule type="expression" priority="603" dxfId="3">
      <formula>X20=1</formula>
    </cfRule>
  </conditionalFormatting>
  <conditionalFormatting sqref="Y20">
    <cfRule type="expression" priority="604" dxfId="3">
      <formula>Y20=1</formula>
    </cfRule>
  </conditionalFormatting>
  <conditionalFormatting sqref="Z20">
    <cfRule type="expression" priority="605" dxfId="3">
      <formula>Z20=1</formula>
    </cfRule>
  </conditionalFormatting>
  <conditionalFormatting sqref="AA20">
    <cfRule type="expression" priority="606" dxfId="3">
      <formula>AA20=1</formula>
    </cfRule>
  </conditionalFormatting>
  <conditionalFormatting sqref="AB20">
    <cfRule type="expression" priority="607" dxfId="3">
      <formula>AB20=1</formula>
    </cfRule>
  </conditionalFormatting>
  <conditionalFormatting sqref="AC20">
    <cfRule type="expression" priority="608" dxfId="3">
      <formula>AC20=1</formula>
    </cfRule>
  </conditionalFormatting>
  <conditionalFormatting sqref="AD20">
    <cfRule type="expression" priority="609" dxfId="3">
      <formula>AD20=1</formula>
    </cfRule>
  </conditionalFormatting>
  <conditionalFormatting sqref="AE20">
    <cfRule type="expression" priority="610" dxfId="3">
      <formula>AE20=1</formula>
    </cfRule>
  </conditionalFormatting>
  <conditionalFormatting sqref="AF20">
    <cfRule type="expression" priority="611" dxfId="3">
      <formula>AF20=1</formula>
    </cfRule>
  </conditionalFormatting>
  <conditionalFormatting sqref="AG20">
    <cfRule type="expression" priority="612" dxfId="3">
      <formula>AG20=1</formula>
    </cfRule>
  </conditionalFormatting>
  <conditionalFormatting sqref="AH20">
    <cfRule type="expression" priority="613" dxfId="3">
      <formula>AH20=1</formula>
    </cfRule>
  </conditionalFormatting>
  <conditionalFormatting sqref="AI20">
    <cfRule type="expression" priority="614" dxfId="3">
      <formula>AI20=1</formula>
    </cfRule>
  </conditionalFormatting>
  <conditionalFormatting sqref="AJ20">
    <cfRule type="expression" priority="615" dxfId="3">
      <formula>AJ20=1</formula>
    </cfRule>
  </conditionalFormatting>
  <conditionalFormatting sqref="AK20">
    <cfRule type="expression" priority="616" dxfId="3">
      <formula>AK20=1</formula>
    </cfRule>
  </conditionalFormatting>
  <conditionalFormatting sqref="AL20">
    <cfRule type="expression" priority="617" dxfId="3">
      <formula>AL20=1</formula>
    </cfRule>
  </conditionalFormatting>
  <conditionalFormatting sqref="AM20">
    <cfRule type="expression" priority="618" dxfId="3">
      <formula>AM20=1</formula>
    </cfRule>
  </conditionalFormatting>
  <conditionalFormatting sqref="AN20">
    <cfRule type="expression" priority="619" dxfId="3">
      <formula>AN20=1</formula>
    </cfRule>
  </conditionalFormatting>
  <conditionalFormatting sqref="AO20">
    <cfRule type="expression" priority="620" dxfId="3">
      <formula>AO20=1</formula>
    </cfRule>
  </conditionalFormatting>
  <conditionalFormatting sqref="AP20">
    <cfRule type="expression" priority="621" dxfId="3">
      <formula>AP20=1</formula>
    </cfRule>
  </conditionalFormatting>
  <conditionalFormatting sqref="AQ20">
    <cfRule type="expression" priority="622" dxfId="3">
      <formula>AQ20=1</formula>
    </cfRule>
  </conditionalFormatting>
  <conditionalFormatting sqref="AR20">
    <cfRule type="expression" priority="623" dxfId="3">
      <formula>AR20=1</formula>
    </cfRule>
  </conditionalFormatting>
  <conditionalFormatting sqref="AS20">
    <cfRule type="expression" priority="624" dxfId="3">
      <formula>AS20=1</formula>
    </cfRule>
  </conditionalFormatting>
  <conditionalFormatting sqref="G21">
    <cfRule type="expression" priority="625" dxfId="3">
      <formula>G21=1</formula>
    </cfRule>
  </conditionalFormatting>
  <conditionalFormatting sqref="H21">
    <cfRule type="expression" priority="626" dxfId="3">
      <formula>H21=1</formula>
    </cfRule>
  </conditionalFormatting>
  <conditionalFormatting sqref="I21">
    <cfRule type="expression" priority="627" dxfId="3">
      <formula>I21=1</formula>
    </cfRule>
  </conditionalFormatting>
  <conditionalFormatting sqref="J21">
    <cfRule type="expression" priority="628" dxfId="3">
      <formula>J21=1</formula>
    </cfRule>
  </conditionalFormatting>
  <conditionalFormatting sqref="K21">
    <cfRule type="expression" priority="629" dxfId="3">
      <formula>K21=1</formula>
    </cfRule>
  </conditionalFormatting>
  <conditionalFormatting sqref="L21">
    <cfRule type="expression" priority="630" dxfId="3">
      <formula>L21=1</formula>
    </cfRule>
  </conditionalFormatting>
  <conditionalFormatting sqref="M21">
    <cfRule type="expression" priority="631" dxfId="3">
      <formula>M21=1</formula>
    </cfRule>
  </conditionalFormatting>
  <conditionalFormatting sqref="N21">
    <cfRule type="expression" priority="632" dxfId="3">
      <formula>N21=1</formula>
    </cfRule>
  </conditionalFormatting>
  <conditionalFormatting sqref="O21">
    <cfRule type="expression" priority="633" dxfId="3">
      <formula>O21=1</formula>
    </cfRule>
  </conditionalFormatting>
  <conditionalFormatting sqref="P21">
    <cfRule type="expression" priority="634" dxfId="3">
      <formula>P21=1</formula>
    </cfRule>
  </conditionalFormatting>
  <conditionalFormatting sqref="Q21">
    <cfRule type="expression" priority="635" dxfId="3">
      <formula>Q21=1</formula>
    </cfRule>
  </conditionalFormatting>
  <conditionalFormatting sqref="R21">
    <cfRule type="expression" priority="636" dxfId="3">
      <formula>R21=1</formula>
    </cfRule>
  </conditionalFormatting>
  <conditionalFormatting sqref="S21">
    <cfRule type="expression" priority="637" dxfId="3">
      <formula>S21=1</formula>
    </cfRule>
  </conditionalFormatting>
  <conditionalFormatting sqref="T21">
    <cfRule type="expression" priority="638" dxfId="3">
      <formula>T21=1</formula>
    </cfRule>
  </conditionalFormatting>
  <conditionalFormatting sqref="U21">
    <cfRule type="expression" priority="639" dxfId="3">
      <formula>U21=1</formula>
    </cfRule>
  </conditionalFormatting>
  <conditionalFormatting sqref="V21">
    <cfRule type="expression" priority="640" dxfId="3">
      <formula>V21=1</formula>
    </cfRule>
  </conditionalFormatting>
  <conditionalFormatting sqref="W21">
    <cfRule type="expression" priority="641" dxfId="3">
      <formula>W21=1</formula>
    </cfRule>
  </conditionalFormatting>
  <conditionalFormatting sqref="X21">
    <cfRule type="expression" priority="642" dxfId="3">
      <formula>X21=1</formula>
    </cfRule>
  </conditionalFormatting>
  <conditionalFormatting sqref="Y21">
    <cfRule type="expression" priority="643" dxfId="3">
      <formula>Y21=1</formula>
    </cfRule>
  </conditionalFormatting>
  <conditionalFormatting sqref="Z21">
    <cfRule type="expression" priority="644" dxfId="3">
      <formula>Z21=1</formula>
    </cfRule>
  </conditionalFormatting>
  <conditionalFormatting sqref="AA21">
    <cfRule type="expression" priority="645" dxfId="3">
      <formula>AA21=1</formula>
    </cfRule>
  </conditionalFormatting>
  <conditionalFormatting sqref="AB21">
    <cfRule type="expression" priority="646" dxfId="3">
      <formula>AB21=1</formula>
    </cfRule>
  </conditionalFormatting>
  <conditionalFormatting sqref="AC21">
    <cfRule type="expression" priority="647" dxfId="3">
      <formula>AC21=1</formula>
    </cfRule>
  </conditionalFormatting>
  <conditionalFormatting sqref="AD21">
    <cfRule type="expression" priority="648" dxfId="3">
      <formula>AD21=1</formula>
    </cfRule>
  </conditionalFormatting>
  <conditionalFormatting sqref="AE21">
    <cfRule type="expression" priority="649" dxfId="3">
      <formula>AE21=1</formula>
    </cfRule>
  </conditionalFormatting>
  <conditionalFormatting sqref="AF21">
    <cfRule type="expression" priority="650" dxfId="3">
      <formula>AF21=1</formula>
    </cfRule>
  </conditionalFormatting>
  <conditionalFormatting sqref="AG21">
    <cfRule type="expression" priority="651" dxfId="3">
      <formula>AG21=1</formula>
    </cfRule>
  </conditionalFormatting>
  <conditionalFormatting sqref="AH21">
    <cfRule type="expression" priority="652" dxfId="3">
      <formula>AH21=1</formula>
    </cfRule>
  </conditionalFormatting>
  <conditionalFormatting sqref="AI21">
    <cfRule type="expression" priority="653" dxfId="3">
      <formula>AI21=1</formula>
    </cfRule>
  </conditionalFormatting>
  <conditionalFormatting sqref="AJ21">
    <cfRule type="expression" priority="654" dxfId="3">
      <formula>AJ21=1</formula>
    </cfRule>
  </conditionalFormatting>
  <conditionalFormatting sqref="AK21">
    <cfRule type="expression" priority="655" dxfId="3">
      <formula>AK21=1</formula>
    </cfRule>
  </conditionalFormatting>
  <conditionalFormatting sqref="AL21">
    <cfRule type="expression" priority="656" dxfId="3">
      <formula>AL21=1</formula>
    </cfRule>
  </conditionalFormatting>
  <conditionalFormatting sqref="AM21">
    <cfRule type="expression" priority="657" dxfId="3">
      <formula>AM21=1</formula>
    </cfRule>
  </conditionalFormatting>
  <conditionalFormatting sqref="AN21">
    <cfRule type="expression" priority="658" dxfId="3">
      <formula>AN21=1</formula>
    </cfRule>
  </conditionalFormatting>
  <conditionalFormatting sqref="AO21">
    <cfRule type="expression" priority="659" dxfId="3">
      <formula>AO21=1</formula>
    </cfRule>
  </conditionalFormatting>
  <conditionalFormatting sqref="AP21">
    <cfRule type="expression" priority="660" dxfId="3">
      <formula>AP21=1</formula>
    </cfRule>
  </conditionalFormatting>
  <conditionalFormatting sqref="AQ21">
    <cfRule type="expression" priority="661" dxfId="3">
      <formula>AQ21=1</formula>
    </cfRule>
  </conditionalFormatting>
  <conditionalFormatting sqref="AR21">
    <cfRule type="expression" priority="662" dxfId="3">
      <formula>AR21=1</formula>
    </cfRule>
  </conditionalFormatting>
  <conditionalFormatting sqref="AS21">
    <cfRule type="expression" priority="663" dxfId="3">
      <formula>AS21=1</formula>
    </cfRule>
  </conditionalFormatting>
  <conditionalFormatting sqref="G22">
    <cfRule type="expression" priority="664" dxfId="3">
      <formula>G22=1</formula>
    </cfRule>
  </conditionalFormatting>
  <conditionalFormatting sqref="H22">
    <cfRule type="expression" priority="665" dxfId="3">
      <formula>H22=1</formula>
    </cfRule>
  </conditionalFormatting>
  <conditionalFormatting sqref="I22">
    <cfRule type="expression" priority="666" dxfId="3">
      <formula>I22=1</formula>
    </cfRule>
  </conditionalFormatting>
  <conditionalFormatting sqref="J22">
    <cfRule type="expression" priority="667" dxfId="3">
      <formula>J22=1</formula>
    </cfRule>
  </conditionalFormatting>
  <conditionalFormatting sqref="K22">
    <cfRule type="expression" priority="668" dxfId="3">
      <formula>K22=1</formula>
    </cfRule>
  </conditionalFormatting>
  <conditionalFormatting sqref="L22">
    <cfRule type="expression" priority="669" dxfId="3">
      <formula>L22=1</formula>
    </cfRule>
  </conditionalFormatting>
  <conditionalFormatting sqref="M22">
    <cfRule type="expression" priority="670" dxfId="3">
      <formula>M22=1</formula>
    </cfRule>
  </conditionalFormatting>
  <conditionalFormatting sqref="N22">
    <cfRule type="expression" priority="671" dxfId="3">
      <formula>N22=1</formula>
    </cfRule>
  </conditionalFormatting>
  <conditionalFormatting sqref="O22">
    <cfRule type="expression" priority="672" dxfId="3">
      <formula>O22=1</formula>
    </cfRule>
  </conditionalFormatting>
  <conditionalFormatting sqref="P22">
    <cfRule type="expression" priority="673" dxfId="3">
      <formula>P22=1</formula>
    </cfRule>
  </conditionalFormatting>
  <conditionalFormatting sqref="Q22">
    <cfRule type="expression" priority="674" dxfId="3">
      <formula>Q22=1</formula>
    </cfRule>
  </conditionalFormatting>
  <conditionalFormatting sqref="R22">
    <cfRule type="expression" priority="675" dxfId="3">
      <formula>R22=1</formula>
    </cfRule>
  </conditionalFormatting>
  <conditionalFormatting sqref="S22">
    <cfRule type="expression" priority="676" dxfId="3">
      <formula>S22=1</formula>
    </cfRule>
  </conditionalFormatting>
  <conditionalFormatting sqref="T22">
    <cfRule type="expression" priority="677" dxfId="3">
      <formula>T22=1</formula>
    </cfRule>
  </conditionalFormatting>
  <conditionalFormatting sqref="U22">
    <cfRule type="expression" priority="678" dxfId="3">
      <formula>U22=1</formula>
    </cfRule>
  </conditionalFormatting>
  <conditionalFormatting sqref="V22">
    <cfRule type="expression" priority="679" dxfId="3">
      <formula>V22=1</formula>
    </cfRule>
  </conditionalFormatting>
  <conditionalFormatting sqref="W22">
    <cfRule type="expression" priority="680" dxfId="3">
      <formula>W22=1</formula>
    </cfRule>
  </conditionalFormatting>
  <conditionalFormatting sqref="X22">
    <cfRule type="expression" priority="681" dxfId="3">
      <formula>X22=1</formula>
    </cfRule>
  </conditionalFormatting>
  <conditionalFormatting sqref="Y22">
    <cfRule type="expression" priority="682" dxfId="3">
      <formula>Y22=1</formula>
    </cfRule>
  </conditionalFormatting>
  <conditionalFormatting sqref="Z22">
    <cfRule type="expression" priority="683" dxfId="3">
      <formula>Z22=1</formula>
    </cfRule>
  </conditionalFormatting>
  <conditionalFormatting sqref="AA22">
    <cfRule type="expression" priority="684" dxfId="3">
      <formula>AA22=1</formula>
    </cfRule>
  </conditionalFormatting>
  <conditionalFormatting sqref="AB22">
    <cfRule type="expression" priority="685" dxfId="3">
      <formula>AB22=1</formula>
    </cfRule>
  </conditionalFormatting>
  <conditionalFormatting sqref="AC22">
    <cfRule type="expression" priority="686" dxfId="3">
      <formula>AC22=1</formula>
    </cfRule>
  </conditionalFormatting>
  <conditionalFormatting sqref="AD22">
    <cfRule type="expression" priority="687" dxfId="3">
      <formula>AD22=1</formula>
    </cfRule>
  </conditionalFormatting>
  <conditionalFormatting sqref="AE22">
    <cfRule type="expression" priority="688" dxfId="3">
      <formula>AE22=1</formula>
    </cfRule>
  </conditionalFormatting>
  <conditionalFormatting sqref="AF22">
    <cfRule type="expression" priority="689" dxfId="3">
      <formula>AF22=1</formula>
    </cfRule>
  </conditionalFormatting>
  <conditionalFormatting sqref="AG22">
    <cfRule type="expression" priority="690" dxfId="3">
      <formula>AG22=1</formula>
    </cfRule>
  </conditionalFormatting>
  <conditionalFormatting sqref="AH22">
    <cfRule type="expression" priority="691" dxfId="3">
      <formula>AH22=1</formula>
    </cfRule>
  </conditionalFormatting>
  <conditionalFormatting sqref="AI22">
    <cfRule type="expression" priority="692" dxfId="3">
      <formula>AI22=1</formula>
    </cfRule>
  </conditionalFormatting>
  <conditionalFormatting sqref="AJ22">
    <cfRule type="expression" priority="693" dxfId="3">
      <formula>AJ22=1</formula>
    </cfRule>
  </conditionalFormatting>
  <conditionalFormatting sqref="AK22">
    <cfRule type="expression" priority="694" dxfId="3">
      <formula>AK22=1</formula>
    </cfRule>
  </conditionalFormatting>
  <conditionalFormatting sqref="AL22">
    <cfRule type="expression" priority="695" dxfId="3">
      <formula>AL22=1</formula>
    </cfRule>
  </conditionalFormatting>
  <conditionalFormatting sqref="AM22">
    <cfRule type="expression" priority="696" dxfId="3">
      <formula>AM22=1</formula>
    </cfRule>
  </conditionalFormatting>
  <conditionalFormatting sqref="AN22">
    <cfRule type="expression" priority="697" dxfId="3">
      <formula>AN22=1</formula>
    </cfRule>
  </conditionalFormatting>
  <conditionalFormatting sqref="AO22">
    <cfRule type="expression" priority="698" dxfId="3">
      <formula>AO22=1</formula>
    </cfRule>
  </conditionalFormatting>
  <conditionalFormatting sqref="AP22">
    <cfRule type="expression" priority="699" dxfId="3">
      <formula>AP22=1</formula>
    </cfRule>
  </conditionalFormatting>
  <conditionalFormatting sqref="AQ22">
    <cfRule type="expression" priority="700" dxfId="3">
      <formula>AQ22=1</formula>
    </cfRule>
  </conditionalFormatting>
  <conditionalFormatting sqref="AR22">
    <cfRule type="expression" priority="701" dxfId="3">
      <formula>AR22=1</formula>
    </cfRule>
  </conditionalFormatting>
  <conditionalFormatting sqref="AS22">
    <cfRule type="expression" priority="702" dxfId="3">
      <formula>AS22=1</formula>
    </cfRule>
  </conditionalFormatting>
  <conditionalFormatting sqref="G23">
    <cfRule type="expression" priority="703" dxfId="3">
      <formula>G23=1</formula>
    </cfRule>
  </conditionalFormatting>
  <conditionalFormatting sqref="H23">
    <cfRule type="expression" priority="704" dxfId="3">
      <formula>H23=1</formula>
    </cfRule>
  </conditionalFormatting>
  <conditionalFormatting sqref="I23">
    <cfRule type="expression" priority="705" dxfId="3">
      <formula>I23=1</formula>
    </cfRule>
  </conditionalFormatting>
  <conditionalFormatting sqref="J23">
    <cfRule type="expression" priority="706" dxfId="3">
      <formula>J23=1</formula>
    </cfRule>
  </conditionalFormatting>
  <conditionalFormatting sqref="K23">
    <cfRule type="expression" priority="707" dxfId="3">
      <formula>K23=1</formula>
    </cfRule>
  </conditionalFormatting>
  <conditionalFormatting sqref="L23">
    <cfRule type="expression" priority="708" dxfId="3">
      <formula>L23=1</formula>
    </cfRule>
  </conditionalFormatting>
  <conditionalFormatting sqref="M23">
    <cfRule type="expression" priority="709" dxfId="3">
      <formula>M23=1</formula>
    </cfRule>
  </conditionalFormatting>
  <conditionalFormatting sqref="N23">
    <cfRule type="expression" priority="710" dxfId="3">
      <formula>N23=1</formula>
    </cfRule>
  </conditionalFormatting>
  <conditionalFormatting sqref="O23">
    <cfRule type="expression" priority="711" dxfId="3">
      <formula>O23=1</formula>
    </cfRule>
  </conditionalFormatting>
  <conditionalFormatting sqref="P23">
    <cfRule type="expression" priority="712" dxfId="3">
      <formula>P23=1</formula>
    </cfRule>
  </conditionalFormatting>
  <conditionalFormatting sqref="Q23">
    <cfRule type="expression" priority="713" dxfId="3">
      <formula>Q23=1</formula>
    </cfRule>
  </conditionalFormatting>
  <conditionalFormatting sqref="R23">
    <cfRule type="expression" priority="714" dxfId="3">
      <formula>R23=1</formula>
    </cfRule>
  </conditionalFormatting>
  <conditionalFormatting sqref="S23">
    <cfRule type="expression" priority="715" dxfId="3">
      <formula>S23=1</formula>
    </cfRule>
  </conditionalFormatting>
  <conditionalFormatting sqref="T23">
    <cfRule type="expression" priority="716" dxfId="3">
      <formula>T23=1</formula>
    </cfRule>
  </conditionalFormatting>
  <conditionalFormatting sqref="U23">
    <cfRule type="expression" priority="717" dxfId="3">
      <formula>U23=1</formula>
    </cfRule>
  </conditionalFormatting>
  <conditionalFormatting sqref="V23">
    <cfRule type="expression" priority="718" dxfId="3">
      <formula>V23=1</formula>
    </cfRule>
  </conditionalFormatting>
  <conditionalFormatting sqref="W23">
    <cfRule type="expression" priority="719" dxfId="3">
      <formula>W23=1</formula>
    </cfRule>
  </conditionalFormatting>
  <conditionalFormatting sqref="X23">
    <cfRule type="expression" priority="720" dxfId="3">
      <formula>X23=1</formula>
    </cfRule>
  </conditionalFormatting>
  <conditionalFormatting sqref="Y23">
    <cfRule type="expression" priority="721" dxfId="3">
      <formula>Y23=1</formula>
    </cfRule>
  </conditionalFormatting>
  <conditionalFormatting sqref="Z23">
    <cfRule type="expression" priority="722" dxfId="3">
      <formula>Z23=1</formula>
    </cfRule>
  </conditionalFormatting>
  <conditionalFormatting sqref="AA23">
    <cfRule type="expression" priority="723" dxfId="3">
      <formula>AA23=1</formula>
    </cfRule>
  </conditionalFormatting>
  <conditionalFormatting sqref="AB23">
    <cfRule type="expression" priority="724" dxfId="3">
      <formula>AB23=1</formula>
    </cfRule>
  </conditionalFormatting>
  <conditionalFormatting sqref="AC23">
    <cfRule type="expression" priority="725" dxfId="3">
      <formula>AC23=1</formula>
    </cfRule>
  </conditionalFormatting>
  <conditionalFormatting sqref="AD23">
    <cfRule type="expression" priority="726" dxfId="3">
      <formula>AD23=1</formula>
    </cfRule>
  </conditionalFormatting>
  <conditionalFormatting sqref="AE23">
    <cfRule type="expression" priority="727" dxfId="3">
      <formula>AE23=1</formula>
    </cfRule>
  </conditionalFormatting>
  <conditionalFormatting sqref="AF23">
    <cfRule type="expression" priority="728" dxfId="3">
      <formula>AF23=1</formula>
    </cfRule>
  </conditionalFormatting>
  <conditionalFormatting sqref="AG23">
    <cfRule type="expression" priority="729" dxfId="3">
      <formula>AG23=1</formula>
    </cfRule>
  </conditionalFormatting>
  <conditionalFormatting sqref="AH23">
    <cfRule type="expression" priority="730" dxfId="3">
      <formula>AH23=1</formula>
    </cfRule>
  </conditionalFormatting>
  <conditionalFormatting sqref="AI23">
    <cfRule type="expression" priority="731" dxfId="3">
      <formula>AI23=1</formula>
    </cfRule>
  </conditionalFormatting>
  <conditionalFormatting sqref="AJ23">
    <cfRule type="expression" priority="732" dxfId="3">
      <formula>AJ23=1</formula>
    </cfRule>
  </conditionalFormatting>
  <conditionalFormatting sqref="AK23">
    <cfRule type="expression" priority="733" dxfId="3">
      <formula>AK23=1</formula>
    </cfRule>
  </conditionalFormatting>
  <conditionalFormatting sqref="AL23">
    <cfRule type="expression" priority="734" dxfId="3">
      <formula>AL23=1</formula>
    </cfRule>
  </conditionalFormatting>
  <conditionalFormatting sqref="AM23">
    <cfRule type="expression" priority="735" dxfId="3">
      <formula>AM23=1</formula>
    </cfRule>
  </conditionalFormatting>
  <conditionalFormatting sqref="AN23">
    <cfRule type="expression" priority="736" dxfId="3">
      <formula>AN23=1</formula>
    </cfRule>
  </conditionalFormatting>
  <conditionalFormatting sqref="AO23">
    <cfRule type="expression" priority="737" dxfId="3">
      <formula>AO23=1</formula>
    </cfRule>
  </conditionalFormatting>
  <conditionalFormatting sqref="AP23">
    <cfRule type="expression" priority="738" dxfId="3">
      <formula>AP23=1</formula>
    </cfRule>
  </conditionalFormatting>
  <conditionalFormatting sqref="AQ23">
    <cfRule type="expression" priority="739" dxfId="3">
      <formula>AQ23=1</formula>
    </cfRule>
  </conditionalFormatting>
  <conditionalFormatting sqref="AR23">
    <cfRule type="expression" priority="740" dxfId="3">
      <formula>AR23=1</formula>
    </cfRule>
  </conditionalFormatting>
  <conditionalFormatting sqref="AS23">
    <cfRule type="expression" priority="741" dxfId="3">
      <formula>AS23=1</formula>
    </cfRule>
  </conditionalFormatting>
  <conditionalFormatting sqref="G24">
    <cfRule type="expression" priority="742" dxfId="3">
      <formula>G24=1</formula>
    </cfRule>
  </conditionalFormatting>
  <conditionalFormatting sqref="H24">
    <cfRule type="expression" priority="743" dxfId="3">
      <formula>H24=1</formula>
    </cfRule>
  </conditionalFormatting>
  <conditionalFormatting sqref="I24">
    <cfRule type="expression" priority="744" dxfId="3">
      <formula>I24=1</formula>
    </cfRule>
  </conditionalFormatting>
  <conditionalFormatting sqref="J24">
    <cfRule type="expression" priority="745" dxfId="3">
      <formula>J24=1</formula>
    </cfRule>
  </conditionalFormatting>
  <conditionalFormatting sqref="K24">
    <cfRule type="expression" priority="746" dxfId="3">
      <formula>K24=1</formula>
    </cfRule>
  </conditionalFormatting>
  <conditionalFormatting sqref="L24">
    <cfRule type="expression" priority="747" dxfId="3">
      <formula>L24=1</formula>
    </cfRule>
  </conditionalFormatting>
  <conditionalFormatting sqref="M24">
    <cfRule type="expression" priority="748" dxfId="3">
      <formula>M24=1</formula>
    </cfRule>
  </conditionalFormatting>
  <conditionalFormatting sqref="N24">
    <cfRule type="expression" priority="749" dxfId="3">
      <formula>N24=1</formula>
    </cfRule>
  </conditionalFormatting>
  <conditionalFormatting sqref="O24">
    <cfRule type="expression" priority="750" dxfId="3">
      <formula>O24=1</formula>
    </cfRule>
  </conditionalFormatting>
  <conditionalFormatting sqref="P24">
    <cfRule type="expression" priority="751" dxfId="3">
      <formula>P24=1</formula>
    </cfRule>
  </conditionalFormatting>
  <conditionalFormatting sqref="Q24">
    <cfRule type="expression" priority="752" dxfId="3">
      <formula>Q24=1</formula>
    </cfRule>
  </conditionalFormatting>
  <conditionalFormatting sqref="R24">
    <cfRule type="expression" priority="753" dxfId="3">
      <formula>R24=1</formula>
    </cfRule>
  </conditionalFormatting>
  <conditionalFormatting sqref="S24">
    <cfRule type="expression" priority="754" dxfId="3">
      <formula>S24=1</formula>
    </cfRule>
  </conditionalFormatting>
  <conditionalFormatting sqref="T24">
    <cfRule type="expression" priority="755" dxfId="3">
      <formula>T24=1</formula>
    </cfRule>
  </conditionalFormatting>
  <conditionalFormatting sqref="U24">
    <cfRule type="expression" priority="756" dxfId="3">
      <formula>U24=1</formula>
    </cfRule>
  </conditionalFormatting>
  <conditionalFormatting sqref="V24">
    <cfRule type="expression" priority="757" dxfId="3">
      <formula>V24=1</formula>
    </cfRule>
  </conditionalFormatting>
  <conditionalFormatting sqref="W24">
    <cfRule type="expression" priority="758" dxfId="3">
      <formula>W24=1</formula>
    </cfRule>
  </conditionalFormatting>
  <conditionalFormatting sqref="X24">
    <cfRule type="expression" priority="759" dxfId="3">
      <formula>X24=1</formula>
    </cfRule>
  </conditionalFormatting>
  <conditionalFormatting sqref="Y24">
    <cfRule type="expression" priority="760" dxfId="3">
      <formula>Y24=1</formula>
    </cfRule>
  </conditionalFormatting>
  <conditionalFormatting sqref="Z24">
    <cfRule type="expression" priority="761" dxfId="3">
      <formula>Z24=1</formula>
    </cfRule>
  </conditionalFormatting>
  <conditionalFormatting sqref="AA24">
    <cfRule type="expression" priority="762" dxfId="3">
      <formula>AA24=1</formula>
    </cfRule>
  </conditionalFormatting>
  <conditionalFormatting sqref="AB24">
    <cfRule type="expression" priority="763" dxfId="3">
      <formula>AB24=1</formula>
    </cfRule>
  </conditionalFormatting>
  <conditionalFormatting sqref="AC24">
    <cfRule type="expression" priority="764" dxfId="3">
      <formula>AC24=1</formula>
    </cfRule>
  </conditionalFormatting>
  <conditionalFormatting sqref="AD24">
    <cfRule type="expression" priority="765" dxfId="3">
      <formula>AD24=1</formula>
    </cfRule>
  </conditionalFormatting>
  <conditionalFormatting sqref="AE24">
    <cfRule type="expression" priority="766" dxfId="3">
      <formula>AE24=1</formula>
    </cfRule>
  </conditionalFormatting>
  <conditionalFormatting sqref="AF24">
    <cfRule type="expression" priority="767" dxfId="3">
      <formula>AF24=1</formula>
    </cfRule>
  </conditionalFormatting>
  <conditionalFormatting sqref="AG24">
    <cfRule type="expression" priority="768" dxfId="3">
      <formula>AG24=1</formula>
    </cfRule>
  </conditionalFormatting>
  <conditionalFormatting sqref="AH24">
    <cfRule type="expression" priority="769" dxfId="3">
      <formula>AH24=1</formula>
    </cfRule>
  </conditionalFormatting>
  <conditionalFormatting sqref="AI24">
    <cfRule type="expression" priority="770" dxfId="3">
      <formula>AI24=1</formula>
    </cfRule>
  </conditionalFormatting>
  <conditionalFormatting sqref="AJ24">
    <cfRule type="expression" priority="771" dxfId="3">
      <formula>AJ24=1</formula>
    </cfRule>
  </conditionalFormatting>
  <conditionalFormatting sqref="AK24">
    <cfRule type="expression" priority="772" dxfId="3">
      <formula>AK24=1</formula>
    </cfRule>
  </conditionalFormatting>
  <conditionalFormatting sqref="AL24">
    <cfRule type="expression" priority="773" dxfId="3">
      <formula>AL24=1</formula>
    </cfRule>
  </conditionalFormatting>
  <conditionalFormatting sqref="AM24">
    <cfRule type="expression" priority="774" dxfId="3">
      <formula>AM24=1</formula>
    </cfRule>
  </conditionalFormatting>
  <conditionalFormatting sqref="AN24">
    <cfRule type="expression" priority="775" dxfId="3">
      <formula>AN24=1</formula>
    </cfRule>
  </conditionalFormatting>
  <conditionalFormatting sqref="AO24">
    <cfRule type="expression" priority="776" dxfId="3">
      <formula>AO24=1</formula>
    </cfRule>
  </conditionalFormatting>
  <conditionalFormatting sqref="AP24">
    <cfRule type="expression" priority="777" dxfId="3">
      <formula>AP24=1</formula>
    </cfRule>
  </conditionalFormatting>
  <conditionalFormatting sqref="AQ24">
    <cfRule type="expression" priority="778" dxfId="3">
      <formula>AQ24=1</formula>
    </cfRule>
  </conditionalFormatting>
  <conditionalFormatting sqref="AR24">
    <cfRule type="expression" priority="779" dxfId="3">
      <formula>AR24=1</formula>
    </cfRule>
  </conditionalFormatting>
  <conditionalFormatting sqref="AS24">
    <cfRule type="expression" priority="780" dxfId="3">
      <formula>AS24=1</formula>
    </cfRule>
  </conditionalFormatting>
  <conditionalFormatting sqref="G25">
    <cfRule type="expression" priority="781" dxfId="3">
      <formula>G25=1</formula>
    </cfRule>
  </conditionalFormatting>
  <conditionalFormatting sqref="H25">
    <cfRule type="expression" priority="782" dxfId="3">
      <formula>H25=1</formula>
    </cfRule>
  </conditionalFormatting>
  <conditionalFormatting sqref="I25">
    <cfRule type="expression" priority="783" dxfId="3">
      <formula>I25=1</formula>
    </cfRule>
  </conditionalFormatting>
  <conditionalFormatting sqref="J25">
    <cfRule type="expression" priority="784" dxfId="3">
      <formula>J25=1</formula>
    </cfRule>
  </conditionalFormatting>
  <conditionalFormatting sqref="K25">
    <cfRule type="expression" priority="785" dxfId="3">
      <formula>K25=1</formula>
    </cfRule>
  </conditionalFormatting>
  <conditionalFormatting sqref="L25">
    <cfRule type="expression" priority="786" dxfId="3">
      <formula>L25=1</formula>
    </cfRule>
  </conditionalFormatting>
  <conditionalFormatting sqref="M25">
    <cfRule type="expression" priority="787" dxfId="3">
      <formula>M25=1</formula>
    </cfRule>
  </conditionalFormatting>
  <conditionalFormatting sqref="N25">
    <cfRule type="expression" priority="788" dxfId="3">
      <formula>N25=1</formula>
    </cfRule>
  </conditionalFormatting>
  <conditionalFormatting sqref="O25">
    <cfRule type="expression" priority="789" dxfId="3">
      <formula>O25=1</formula>
    </cfRule>
  </conditionalFormatting>
  <conditionalFormatting sqref="P25">
    <cfRule type="expression" priority="790" dxfId="3">
      <formula>P25=1</formula>
    </cfRule>
  </conditionalFormatting>
  <conditionalFormatting sqref="Q25">
    <cfRule type="expression" priority="791" dxfId="3">
      <formula>Q25=1</formula>
    </cfRule>
  </conditionalFormatting>
  <conditionalFormatting sqref="R25">
    <cfRule type="expression" priority="792" dxfId="3">
      <formula>R25=1</formula>
    </cfRule>
  </conditionalFormatting>
  <conditionalFormatting sqref="S25">
    <cfRule type="expression" priority="793" dxfId="3">
      <formula>S25=1</formula>
    </cfRule>
  </conditionalFormatting>
  <conditionalFormatting sqref="T25">
    <cfRule type="expression" priority="794" dxfId="3">
      <formula>T25=1</formula>
    </cfRule>
  </conditionalFormatting>
  <conditionalFormatting sqref="U25">
    <cfRule type="expression" priority="795" dxfId="3">
      <formula>U25=1</formula>
    </cfRule>
  </conditionalFormatting>
  <conditionalFormatting sqref="V25">
    <cfRule type="expression" priority="796" dxfId="3">
      <formula>V25=1</formula>
    </cfRule>
  </conditionalFormatting>
  <conditionalFormatting sqref="W25">
    <cfRule type="expression" priority="797" dxfId="3">
      <formula>W25=1</formula>
    </cfRule>
  </conditionalFormatting>
  <conditionalFormatting sqref="X25">
    <cfRule type="expression" priority="798" dxfId="3">
      <formula>X25=1</formula>
    </cfRule>
  </conditionalFormatting>
  <conditionalFormatting sqref="Y25">
    <cfRule type="expression" priority="799" dxfId="3">
      <formula>Y25=1</formula>
    </cfRule>
  </conditionalFormatting>
  <conditionalFormatting sqref="Z25">
    <cfRule type="expression" priority="800" dxfId="3">
      <formula>Z25=1</formula>
    </cfRule>
  </conditionalFormatting>
  <conditionalFormatting sqref="AA25">
    <cfRule type="expression" priority="801" dxfId="3">
      <formula>AA25=1</formula>
    </cfRule>
  </conditionalFormatting>
  <conditionalFormatting sqref="AB25">
    <cfRule type="expression" priority="802" dxfId="3">
      <formula>AB25=1</formula>
    </cfRule>
  </conditionalFormatting>
  <conditionalFormatting sqref="AC25">
    <cfRule type="expression" priority="803" dxfId="3">
      <formula>AC25=1</formula>
    </cfRule>
  </conditionalFormatting>
  <conditionalFormatting sqref="AD25">
    <cfRule type="expression" priority="804" dxfId="3">
      <formula>AD25=1</formula>
    </cfRule>
  </conditionalFormatting>
  <conditionalFormatting sqref="AE25">
    <cfRule type="expression" priority="805" dxfId="3">
      <formula>AE25=1</formula>
    </cfRule>
  </conditionalFormatting>
  <conditionalFormatting sqref="AF25">
    <cfRule type="expression" priority="806" dxfId="3">
      <formula>AF25=1</formula>
    </cfRule>
  </conditionalFormatting>
  <conditionalFormatting sqref="AG25">
    <cfRule type="expression" priority="807" dxfId="3">
      <formula>AG25=1</formula>
    </cfRule>
  </conditionalFormatting>
  <conditionalFormatting sqref="AH25">
    <cfRule type="expression" priority="808" dxfId="3">
      <formula>AH25=1</formula>
    </cfRule>
  </conditionalFormatting>
  <conditionalFormatting sqref="AI25">
    <cfRule type="expression" priority="809" dxfId="3">
      <formula>AI25=1</formula>
    </cfRule>
  </conditionalFormatting>
  <conditionalFormatting sqref="AJ25">
    <cfRule type="expression" priority="810" dxfId="3">
      <formula>AJ25=1</formula>
    </cfRule>
  </conditionalFormatting>
  <conditionalFormatting sqref="AK25">
    <cfRule type="expression" priority="811" dxfId="3">
      <formula>AK25=1</formula>
    </cfRule>
  </conditionalFormatting>
  <conditionalFormatting sqref="AL25">
    <cfRule type="expression" priority="812" dxfId="3">
      <formula>AL25=1</formula>
    </cfRule>
  </conditionalFormatting>
  <conditionalFormatting sqref="AM25">
    <cfRule type="expression" priority="813" dxfId="3">
      <formula>AM25=1</formula>
    </cfRule>
  </conditionalFormatting>
  <conditionalFormatting sqref="AN25">
    <cfRule type="expression" priority="814" dxfId="3">
      <formula>AN25=1</formula>
    </cfRule>
  </conditionalFormatting>
  <conditionalFormatting sqref="AO25">
    <cfRule type="expression" priority="815" dxfId="3">
      <formula>AO25=1</formula>
    </cfRule>
  </conditionalFormatting>
  <conditionalFormatting sqref="AP25">
    <cfRule type="expression" priority="816" dxfId="3">
      <formula>AP25=1</formula>
    </cfRule>
  </conditionalFormatting>
  <conditionalFormatting sqref="AQ25">
    <cfRule type="expression" priority="817" dxfId="3">
      <formula>AQ25=1</formula>
    </cfRule>
  </conditionalFormatting>
  <conditionalFormatting sqref="AR25">
    <cfRule type="expression" priority="818" dxfId="3">
      <formula>AR25=1</formula>
    </cfRule>
  </conditionalFormatting>
  <conditionalFormatting sqref="AS25">
    <cfRule type="expression" priority="819" dxfId="3">
      <formula>AS25=1</formula>
    </cfRule>
  </conditionalFormatting>
  <conditionalFormatting sqref="G26">
    <cfRule type="expression" priority="820" dxfId="3">
      <formula>G26=1</formula>
    </cfRule>
  </conditionalFormatting>
  <conditionalFormatting sqref="H26">
    <cfRule type="expression" priority="821" dxfId="3">
      <formula>H26=1</formula>
    </cfRule>
  </conditionalFormatting>
  <conditionalFormatting sqref="I26">
    <cfRule type="expression" priority="822" dxfId="3">
      <formula>I26=1</formula>
    </cfRule>
  </conditionalFormatting>
  <conditionalFormatting sqref="J26">
    <cfRule type="expression" priority="823" dxfId="3">
      <formula>J26=1</formula>
    </cfRule>
  </conditionalFormatting>
  <conditionalFormatting sqref="K26">
    <cfRule type="expression" priority="824" dxfId="3">
      <formula>K26=1</formula>
    </cfRule>
  </conditionalFormatting>
  <conditionalFormatting sqref="L26">
    <cfRule type="expression" priority="825" dxfId="3">
      <formula>L26=1</formula>
    </cfRule>
  </conditionalFormatting>
  <conditionalFormatting sqref="M26">
    <cfRule type="expression" priority="826" dxfId="3">
      <formula>M26=1</formula>
    </cfRule>
  </conditionalFormatting>
  <conditionalFormatting sqref="N26">
    <cfRule type="expression" priority="827" dxfId="3">
      <formula>N26=1</formula>
    </cfRule>
  </conditionalFormatting>
  <conditionalFormatting sqref="O26">
    <cfRule type="expression" priority="828" dxfId="3">
      <formula>O26=1</formula>
    </cfRule>
  </conditionalFormatting>
  <conditionalFormatting sqref="P26">
    <cfRule type="expression" priority="829" dxfId="3">
      <formula>P26=1</formula>
    </cfRule>
  </conditionalFormatting>
  <conditionalFormatting sqref="Q26">
    <cfRule type="expression" priority="830" dxfId="3">
      <formula>Q26=1</formula>
    </cfRule>
  </conditionalFormatting>
  <conditionalFormatting sqref="R26">
    <cfRule type="expression" priority="831" dxfId="3">
      <formula>R26=1</formula>
    </cfRule>
  </conditionalFormatting>
  <conditionalFormatting sqref="S26">
    <cfRule type="expression" priority="832" dxfId="3">
      <formula>S26=1</formula>
    </cfRule>
  </conditionalFormatting>
  <conditionalFormatting sqref="T26">
    <cfRule type="expression" priority="833" dxfId="3">
      <formula>T26=1</formula>
    </cfRule>
  </conditionalFormatting>
  <conditionalFormatting sqref="U26">
    <cfRule type="expression" priority="834" dxfId="3">
      <formula>U26=1</formula>
    </cfRule>
  </conditionalFormatting>
  <conditionalFormatting sqref="V26">
    <cfRule type="expression" priority="835" dxfId="3">
      <formula>V26=1</formula>
    </cfRule>
  </conditionalFormatting>
  <conditionalFormatting sqref="W26">
    <cfRule type="expression" priority="836" dxfId="3">
      <formula>W26=1</formula>
    </cfRule>
  </conditionalFormatting>
  <conditionalFormatting sqref="X26">
    <cfRule type="expression" priority="837" dxfId="3">
      <formula>X26=1</formula>
    </cfRule>
  </conditionalFormatting>
  <conditionalFormatting sqref="Y26">
    <cfRule type="expression" priority="838" dxfId="3">
      <formula>Y26=1</formula>
    </cfRule>
  </conditionalFormatting>
  <conditionalFormatting sqref="Z26">
    <cfRule type="expression" priority="839" dxfId="3">
      <formula>Z26=1</formula>
    </cfRule>
  </conditionalFormatting>
  <conditionalFormatting sqref="AA26">
    <cfRule type="expression" priority="840" dxfId="3">
      <formula>AA26=1</formula>
    </cfRule>
  </conditionalFormatting>
  <conditionalFormatting sqref="AB26">
    <cfRule type="expression" priority="841" dxfId="3">
      <formula>AB26=1</formula>
    </cfRule>
  </conditionalFormatting>
  <conditionalFormatting sqref="AC26">
    <cfRule type="expression" priority="842" dxfId="3">
      <formula>AC26=1</formula>
    </cfRule>
  </conditionalFormatting>
  <conditionalFormatting sqref="AD26">
    <cfRule type="expression" priority="843" dxfId="3">
      <formula>AD26=1</formula>
    </cfRule>
  </conditionalFormatting>
  <conditionalFormatting sqref="AE26">
    <cfRule type="expression" priority="844" dxfId="3">
      <formula>AE26=1</formula>
    </cfRule>
  </conditionalFormatting>
  <conditionalFormatting sqref="AF26">
    <cfRule type="expression" priority="845" dxfId="3">
      <formula>AF26=1</formula>
    </cfRule>
  </conditionalFormatting>
  <conditionalFormatting sqref="AG26">
    <cfRule type="expression" priority="846" dxfId="3">
      <formula>AG26=1</formula>
    </cfRule>
  </conditionalFormatting>
  <conditionalFormatting sqref="AH26">
    <cfRule type="expression" priority="847" dxfId="3">
      <formula>AH26=1</formula>
    </cfRule>
  </conditionalFormatting>
  <conditionalFormatting sqref="AI26">
    <cfRule type="expression" priority="848" dxfId="3">
      <formula>AI26=1</formula>
    </cfRule>
  </conditionalFormatting>
  <conditionalFormatting sqref="AJ26">
    <cfRule type="expression" priority="849" dxfId="3">
      <formula>AJ26=1</formula>
    </cfRule>
  </conditionalFormatting>
  <conditionalFormatting sqref="AK26">
    <cfRule type="expression" priority="850" dxfId="3">
      <formula>AK26=1</formula>
    </cfRule>
  </conditionalFormatting>
  <conditionalFormatting sqref="AL26">
    <cfRule type="expression" priority="851" dxfId="3">
      <formula>AL26=1</formula>
    </cfRule>
  </conditionalFormatting>
  <conditionalFormatting sqref="AM26">
    <cfRule type="expression" priority="852" dxfId="3">
      <formula>AM26=1</formula>
    </cfRule>
  </conditionalFormatting>
  <conditionalFormatting sqref="AN26">
    <cfRule type="expression" priority="853" dxfId="3">
      <formula>AN26=1</formula>
    </cfRule>
  </conditionalFormatting>
  <conditionalFormatting sqref="AO26">
    <cfRule type="expression" priority="854" dxfId="3">
      <formula>AO26=1</formula>
    </cfRule>
  </conditionalFormatting>
  <conditionalFormatting sqref="AP26">
    <cfRule type="expression" priority="855" dxfId="3">
      <formula>AP26=1</formula>
    </cfRule>
  </conditionalFormatting>
  <conditionalFormatting sqref="AQ26">
    <cfRule type="expression" priority="856" dxfId="3">
      <formula>AQ26=1</formula>
    </cfRule>
  </conditionalFormatting>
  <conditionalFormatting sqref="AR26">
    <cfRule type="expression" priority="857" dxfId="3">
      <formula>AR26=1</formula>
    </cfRule>
  </conditionalFormatting>
  <conditionalFormatting sqref="AS26">
    <cfRule type="expression" priority="858" dxfId="3">
      <formula>AS26=1</formula>
    </cfRule>
  </conditionalFormatting>
  <conditionalFormatting sqref="G27">
    <cfRule type="expression" priority="859" dxfId="3">
      <formula>G27=1</formula>
    </cfRule>
  </conditionalFormatting>
  <conditionalFormatting sqref="H27">
    <cfRule type="expression" priority="860" dxfId="3">
      <formula>H27=1</formula>
    </cfRule>
  </conditionalFormatting>
  <conditionalFormatting sqref="I27">
    <cfRule type="expression" priority="861" dxfId="3">
      <formula>I27=1</formula>
    </cfRule>
  </conditionalFormatting>
  <conditionalFormatting sqref="J27">
    <cfRule type="expression" priority="862" dxfId="3">
      <formula>J27=1</formula>
    </cfRule>
  </conditionalFormatting>
  <conditionalFormatting sqref="K27">
    <cfRule type="expression" priority="863" dxfId="3">
      <formula>K27=1</formula>
    </cfRule>
  </conditionalFormatting>
  <conditionalFormatting sqref="L27">
    <cfRule type="expression" priority="864" dxfId="3">
      <formula>L27=1</formula>
    </cfRule>
  </conditionalFormatting>
  <conditionalFormatting sqref="M27">
    <cfRule type="expression" priority="865" dxfId="3">
      <formula>M27=1</formula>
    </cfRule>
  </conditionalFormatting>
  <conditionalFormatting sqref="N27">
    <cfRule type="expression" priority="866" dxfId="3">
      <formula>N27=1</formula>
    </cfRule>
  </conditionalFormatting>
  <conditionalFormatting sqref="O27">
    <cfRule type="expression" priority="867" dxfId="3">
      <formula>O27=1</formula>
    </cfRule>
  </conditionalFormatting>
  <conditionalFormatting sqref="P27">
    <cfRule type="expression" priority="868" dxfId="3">
      <formula>P27=1</formula>
    </cfRule>
  </conditionalFormatting>
  <conditionalFormatting sqref="Q27">
    <cfRule type="expression" priority="869" dxfId="3">
      <formula>Q27=1</formula>
    </cfRule>
  </conditionalFormatting>
  <conditionalFormatting sqref="R27">
    <cfRule type="expression" priority="870" dxfId="3">
      <formula>R27=1</formula>
    </cfRule>
  </conditionalFormatting>
  <conditionalFormatting sqref="S27">
    <cfRule type="expression" priority="871" dxfId="3">
      <formula>S27=1</formula>
    </cfRule>
  </conditionalFormatting>
  <conditionalFormatting sqref="T27">
    <cfRule type="expression" priority="872" dxfId="3">
      <formula>T27=1</formula>
    </cfRule>
  </conditionalFormatting>
  <conditionalFormatting sqref="U27">
    <cfRule type="expression" priority="873" dxfId="3">
      <formula>U27=1</formula>
    </cfRule>
  </conditionalFormatting>
  <conditionalFormatting sqref="V27">
    <cfRule type="expression" priority="874" dxfId="3">
      <formula>V27=1</formula>
    </cfRule>
  </conditionalFormatting>
  <conditionalFormatting sqref="W27">
    <cfRule type="expression" priority="875" dxfId="3">
      <formula>W27=1</formula>
    </cfRule>
  </conditionalFormatting>
  <conditionalFormatting sqref="X27">
    <cfRule type="expression" priority="876" dxfId="3">
      <formula>X27=1</formula>
    </cfRule>
  </conditionalFormatting>
  <conditionalFormatting sqref="Y27">
    <cfRule type="expression" priority="877" dxfId="3">
      <formula>Y27=1</formula>
    </cfRule>
  </conditionalFormatting>
  <conditionalFormatting sqref="Z27">
    <cfRule type="expression" priority="878" dxfId="3">
      <formula>Z27=1</formula>
    </cfRule>
  </conditionalFormatting>
  <conditionalFormatting sqref="AA27">
    <cfRule type="expression" priority="879" dxfId="3">
      <formula>AA27=1</formula>
    </cfRule>
  </conditionalFormatting>
  <conditionalFormatting sqref="AB27">
    <cfRule type="expression" priority="880" dxfId="3">
      <formula>AB27=1</formula>
    </cfRule>
  </conditionalFormatting>
  <conditionalFormatting sqref="AC27">
    <cfRule type="expression" priority="881" dxfId="3">
      <formula>AC27=1</formula>
    </cfRule>
  </conditionalFormatting>
  <conditionalFormatting sqref="AD27">
    <cfRule type="expression" priority="882" dxfId="3">
      <formula>AD27=1</formula>
    </cfRule>
  </conditionalFormatting>
  <conditionalFormatting sqref="AE27">
    <cfRule type="expression" priority="883" dxfId="3">
      <formula>AE27=1</formula>
    </cfRule>
  </conditionalFormatting>
  <conditionalFormatting sqref="AF27">
    <cfRule type="expression" priority="884" dxfId="3">
      <formula>AF27=1</formula>
    </cfRule>
  </conditionalFormatting>
  <conditionalFormatting sqref="AG27">
    <cfRule type="expression" priority="885" dxfId="3">
      <formula>AG27=1</formula>
    </cfRule>
  </conditionalFormatting>
  <conditionalFormatting sqref="AH27">
    <cfRule type="expression" priority="886" dxfId="3">
      <formula>AH27=1</formula>
    </cfRule>
  </conditionalFormatting>
  <conditionalFormatting sqref="AI27">
    <cfRule type="expression" priority="887" dxfId="3">
      <formula>AI27=1</formula>
    </cfRule>
  </conditionalFormatting>
  <conditionalFormatting sqref="AJ27">
    <cfRule type="expression" priority="888" dxfId="3">
      <formula>AJ27=1</formula>
    </cfRule>
  </conditionalFormatting>
  <conditionalFormatting sqref="AK27">
    <cfRule type="expression" priority="889" dxfId="3">
      <formula>AK27=1</formula>
    </cfRule>
  </conditionalFormatting>
  <conditionalFormatting sqref="AL27">
    <cfRule type="expression" priority="890" dxfId="3">
      <formula>AL27=1</formula>
    </cfRule>
  </conditionalFormatting>
  <conditionalFormatting sqref="AM27">
    <cfRule type="expression" priority="891" dxfId="3">
      <formula>AM27=1</formula>
    </cfRule>
  </conditionalFormatting>
  <conditionalFormatting sqref="AN27">
    <cfRule type="expression" priority="892" dxfId="3">
      <formula>AN27=1</formula>
    </cfRule>
  </conditionalFormatting>
  <conditionalFormatting sqref="AO27">
    <cfRule type="expression" priority="893" dxfId="3">
      <formula>AO27=1</formula>
    </cfRule>
  </conditionalFormatting>
  <conditionalFormatting sqref="AP27">
    <cfRule type="expression" priority="894" dxfId="3">
      <formula>AP27=1</formula>
    </cfRule>
  </conditionalFormatting>
  <conditionalFormatting sqref="AQ27">
    <cfRule type="expression" priority="895" dxfId="3">
      <formula>AQ27=1</formula>
    </cfRule>
  </conditionalFormatting>
  <conditionalFormatting sqref="AR27">
    <cfRule type="expression" priority="896" dxfId="3">
      <formula>AR27=1</formula>
    </cfRule>
  </conditionalFormatting>
  <conditionalFormatting sqref="AS27">
    <cfRule type="expression" priority="897" dxfId="3">
      <formula>AS27=1</formula>
    </cfRule>
  </conditionalFormatting>
  <conditionalFormatting sqref="G28">
    <cfRule type="expression" priority="898" dxfId="3">
      <formula>G28=1</formula>
    </cfRule>
  </conditionalFormatting>
  <conditionalFormatting sqref="H28">
    <cfRule type="expression" priority="899" dxfId="3">
      <formula>H28=1</formula>
    </cfRule>
  </conditionalFormatting>
  <conditionalFormatting sqref="I28">
    <cfRule type="expression" priority="900" dxfId="3">
      <formula>I28=1</formula>
    </cfRule>
  </conditionalFormatting>
  <conditionalFormatting sqref="J28">
    <cfRule type="expression" priority="901" dxfId="3">
      <formula>J28=1</formula>
    </cfRule>
  </conditionalFormatting>
  <conditionalFormatting sqref="K28">
    <cfRule type="expression" priority="902" dxfId="3">
      <formula>K28=1</formula>
    </cfRule>
  </conditionalFormatting>
  <conditionalFormatting sqref="L28">
    <cfRule type="expression" priority="903" dxfId="3">
      <formula>L28=1</formula>
    </cfRule>
  </conditionalFormatting>
  <conditionalFormatting sqref="M28">
    <cfRule type="expression" priority="904" dxfId="3">
      <formula>M28=1</formula>
    </cfRule>
  </conditionalFormatting>
  <conditionalFormatting sqref="N28">
    <cfRule type="expression" priority="905" dxfId="3">
      <formula>N28=1</formula>
    </cfRule>
  </conditionalFormatting>
  <conditionalFormatting sqref="O28">
    <cfRule type="expression" priority="906" dxfId="3">
      <formula>O28=1</formula>
    </cfRule>
  </conditionalFormatting>
  <conditionalFormatting sqref="P28">
    <cfRule type="expression" priority="907" dxfId="3">
      <formula>P28=1</formula>
    </cfRule>
  </conditionalFormatting>
  <conditionalFormatting sqref="Q28">
    <cfRule type="expression" priority="908" dxfId="3">
      <formula>Q28=1</formula>
    </cfRule>
  </conditionalFormatting>
  <conditionalFormatting sqref="R28">
    <cfRule type="expression" priority="909" dxfId="3">
      <formula>R28=1</formula>
    </cfRule>
  </conditionalFormatting>
  <conditionalFormatting sqref="S28">
    <cfRule type="expression" priority="910" dxfId="3">
      <formula>S28=1</formula>
    </cfRule>
  </conditionalFormatting>
  <conditionalFormatting sqref="T28">
    <cfRule type="expression" priority="911" dxfId="3">
      <formula>T28=1</formula>
    </cfRule>
  </conditionalFormatting>
  <conditionalFormatting sqref="U28">
    <cfRule type="expression" priority="912" dxfId="3">
      <formula>U28=1</formula>
    </cfRule>
  </conditionalFormatting>
  <conditionalFormatting sqref="V28">
    <cfRule type="expression" priority="913" dxfId="3">
      <formula>V28=1</formula>
    </cfRule>
  </conditionalFormatting>
  <conditionalFormatting sqref="W28">
    <cfRule type="expression" priority="914" dxfId="3">
      <formula>W28=1</formula>
    </cfRule>
  </conditionalFormatting>
  <conditionalFormatting sqref="X28">
    <cfRule type="expression" priority="915" dxfId="3">
      <formula>X28=1</formula>
    </cfRule>
  </conditionalFormatting>
  <conditionalFormatting sqref="Y28">
    <cfRule type="expression" priority="916" dxfId="3">
      <formula>Y28=1</formula>
    </cfRule>
  </conditionalFormatting>
  <conditionalFormatting sqref="Z28">
    <cfRule type="expression" priority="917" dxfId="3">
      <formula>Z28=1</formula>
    </cfRule>
  </conditionalFormatting>
  <conditionalFormatting sqref="AA28">
    <cfRule type="expression" priority="918" dxfId="3">
      <formula>AA28=1</formula>
    </cfRule>
  </conditionalFormatting>
  <conditionalFormatting sqref="AB28">
    <cfRule type="expression" priority="919" dxfId="3">
      <formula>AB28=1</formula>
    </cfRule>
  </conditionalFormatting>
  <conditionalFormatting sqref="AC28">
    <cfRule type="expression" priority="920" dxfId="3">
      <formula>AC28=1</formula>
    </cfRule>
  </conditionalFormatting>
  <conditionalFormatting sqref="AD28">
    <cfRule type="expression" priority="921" dxfId="3">
      <formula>AD28=1</formula>
    </cfRule>
  </conditionalFormatting>
  <conditionalFormatting sqref="AE28">
    <cfRule type="expression" priority="922" dxfId="3">
      <formula>AE28=1</formula>
    </cfRule>
  </conditionalFormatting>
  <conditionalFormatting sqref="AF28">
    <cfRule type="expression" priority="923" dxfId="3">
      <formula>AF28=1</formula>
    </cfRule>
  </conditionalFormatting>
  <conditionalFormatting sqref="AG28">
    <cfRule type="expression" priority="924" dxfId="3">
      <formula>AG28=1</formula>
    </cfRule>
  </conditionalFormatting>
  <conditionalFormatting sqref="AH28">
    <cfRule type="expression" priority="925" dxfId="3">
      <formula>AH28=1</formula>
    </cfRule>
  </conditionalFormatting>
  <conditionalFormatting sqref="AI28">
    <cfRule type="expression" priority="926" dxfId="3">
      <formula>AI28=1</formula>
    </cfRule>
  </conditionalFormatting>
  <conditionalFormatting sqref="AJ28">
    <cfRule type="expression" priority="927" dxfId="3">
      <formula>AJ28=1</formula>
    </cfRule>
  </conditionalFormatting>
  <conditionalFormatting sqref="AK28">
    <cfRule type="expression" priority="928" dxfId="3">
      <formula>AK28=1</formula>
    </cfRule>
  </conditionalFormatting>
  <conditionalFormatting sqref="AL28">
    <cfRule type="expression" priority="929" dxfId="3">
      <formula>AL28=1</formula>
    </cfRule>
  </conditionalFormatting>
  <conditionalFormatting sqref="AM28">
    <cfRule type="expression" priority="930" dxfId="3">
      <formula>AM28=1</formula>
    </cfRule>
  </conditionalFormatting>
  <conditionalFormatting sqref="AN28">
    <cfRule type="expression" priority="931" dxfId="3">
      <formula>AN28=1</formula>
    </cfRule>
  </conditionalFormatting>
  <conditionalFormatting sqref="AO28">
    <cfRule type="expression" priority="932" dxfId="3">
      <formula>AO28=1</formula>
    </cfRule>
  </conditionalFormatting>
  <conditionalFormatting sqref="AP28">
    <cfRule type="expression" priority="933" dxfId="3">
      <formula>AP28=1</formula>
    </cfRule>
  </conditionalFormatting>
  <conditionalFormatting sqref="AQ28">
    <cfRule type="expression" priority="934" dxfId="3">
      <formula>AQ28=1</formula>
    </cfRule>
  </conditionalFormatting>
  <conditionalFormatting sqref="AR28">
    <cfRule type="expression" priority="935" dxfId="3">
      <formula>AR28=1</formula>
    </cfRule>
  </conditionalFormatting>
  <conditionalFormatting sqref="AS28">
    <cfRule type="expression" priority="936" dxfId="3">
      <formula>AS28=1</formula>
    </cfRule>
  </conditionalFormatting>
  <conditionalFormatting sqref="G29">
    <cfRule type="expression" priority="937" dxfId="3">
      <formula>G29=1</formula>
    </cfRule>
  </conditionalFormatting>
  <conditionalFormatting sqref="H29">
    <cfRule type="expression" priority="938" dxfId="3">
      <formula>H29=1</formula>
    </cfRule>
  </conditionalFormatting>
  <conditionalFormatting sqref="I29">
    <cfRule type="expression" priority="939" dxfId="3">
      <formula>I29=1</formula>
    </cfRule>
  </conditionalFormatting>
  <conditionalFormatting sqref="J29">
    <cfRule type="expression" priority="940" dxfId="3">
      <formula>J29=1</formula>
    </cfRule>
  </conditionalFormatting>
  <conditionalFormatting sqref="K29">
    <cfRule type="expression" priority="941" dxfId="3">
      <formula>K29=1</formula>
    </cfRule>
  </conditionalFormatting>
  <conditionalFormatting sqref="L29">
    <cfRule type="expression" priority="942" dxfId="3">
      <formula>L29=1</formula>
    </cfRule>
  </conditionalFormatting>
  <conditionalFormatting sqref="M29">
    <cfRule type="expression" priority="943" dxfId="3">
      <formula>M29=1</formula>
    </cfRule>
  </conditionalFormatting>
  <conditionalFormatting sqref="N29">
    <cfRule type="expression" priority="944" dxfId="3">
      <formula>N29=1</formula>
    </cfRule>
  </conditionalFormatting>
  <conditionalFormatting sqref="O29">
    <cfRule type="expression" priority="945" dxfId="3">
      <formula>O29=1</formula>
    </cfRule>
  </conditionalFormatting>
  <conditionalFormatting sqref="P29">
    <cfRule type="expression" priority="946" dxfId="3">
      <formula>P29=1</formula>
    </cfRule>
  </conditionalFormatting>
  <conditionalFormatting sqref="Q29">
    <cfRule type="expression" priority="947" dxfId="3">
      <formula>Q29=1</formula>
    </cfRule>
  </conditionalFormatting>
  <conditionalFormatting sqref="R29">
    <cfRule type="expression" priority="948" dxfId="3">
      <formula>R29=1</formula>
    </cfRule>
  </conditionalFormatting>
  <conditionalFormatting sqref="S29">
    <cfRule type="expression" priority="949" dxfId="3">
      <formula>S29=1</formula>
    </cfRule>
  </conditionalFormatting>
  <conditionalFormatting sqref="T29">
    <cfRule type="expression" priority="950" dxfId="3">
      <formula>T29=1</formula>
    </cfRule>
  </conditionalFormatting>
  <conditionalFormatting sqref="U29">
    <cfRule type="expression" priority="951" dxfId="3">
      <formula>U29=1</formula>
    </cfRule>
  </conditionalFormatting>
  <conditionalFormatting sqref="V29">
    <cfRule type="expression" priority="952" dxfId="3">
      <formula>V29=1</formula>
    </cfRule>
  </conditionalFormatting>
  <conditionalFormatting sqref="W29">
    <cfRule type="expression" priority="953" dxfId="3">
      <formula>W29=1</formula>
    </cfRule>
  </conditionalFormatting>
  <conditionalFormatting sqref="X29">
    <cfRule type="expression" priority="954" dxfId="3">
      <formula>X29=1</formula>
    </cfRule>
  </conditionalFormatting>
  <conditionalFormatting sqref="Y29">
    <cfRule type="expression" priority="955" dxfId="3">
      <formula>Y29=1</formula>
    </cfRule>
  </conditionalFormatting>
  <conditionalFormatting sqref="Z29">
    <cfRule type="expression" priority="956" dxfId="3">
      <formula>Z29=1</formula>
    </cfRule>
  </conditionalFormatting>
  <conditionalFormatting sqref="AA29">
    <cfRule type="expression" priority="957" dxfId="3">
      <formula>AA29=1</formula>
    </cfRule>
  </conditionalFormatting>
  <conditionalFormatting sqref="AB29">
    <cfRule type="expression" priority="958" dxfId="3">
      <formula>AB29=1</formula>
    </cfRule>
  </conditionalFormatting>
  <conditionalFormatting sqref="AC29">
    <cfRule type="expression" priority="959" dxfId="3">
      <formula>AC29=1</formula>
    </cfRule>
  </conditionalFormatting>
  <conditionalFormatting sqref="AD29">
    <cfRule type="expression" priority="960" dxfId="3">
      <formula>AD29=1</formula>
    </cfRule>
  </conditionalFormatting>
  <conditionalFormatting sqref="AE29">
    <cfRule type="expression" priority="961" dxfId="3">
      <formula>AE29=1</formula>
    </cfRule>
  </conditionalFormatting>
  <conditionalFormatting sqref="AF29">
    <cfRule type="expression" priority="962" dxfId="3">
      <formula>AF29=1</formula>
    </cfRule>
  </conditionalFormatting>
  <conditionalFormatting sqref="AG29">
    <cfRule type="expression" priority="963" dxfId="3">
      <formula>AG29=1</formula>
    </cfRule>
  </conditionalFormatting>
  <conditionalFormatting sqref="AH29">
    <cfRule type="expression" priority="964" dxfId="3">
      <formula>AH29=1</formula>
    </cfRule>
  </conditionalFormatting>
  <conditionalFormatting sqref="AI29">
    <cfRule type="expression" priority="965" dxfId="3">
      <formula>AI29=1</formula>
    </cfRule>
  </conditionalFormatting>
  <conditionalFormatting sqref="AJ29">
    <cfRule type="expression" priority="966" dxfId="3">
      <formula>AJ29=1</formula>
    </cfRule>
  </conditionalFormatting>
  <conditionalFormatting sqref="AK29">
    <cfRule type="expression" priority="967" dxfId="3">
      <formula>AK29=1</formula>
    </cfRule>
  </conditionalFormatting>
  <conditionalFormatting sqref="AL29">
    <cfRule type="expression" priority="968" dxfId="3">
      <formula>AL29=1</formula>
    </cfRule>
  </conditionalFormatting>
  <conditionalFormatting sqref="AM29">
    <cfRule type="expression" priority="969" dxfId="3">
      <formula>AM29=1</formula>
    </cfRule>
  </conditionalFormatting>
  <conditionalFormatting sqref="AN29">
    <cfRule type="expression" priority="970" dxfId="3">
      <formula>AN29=1</formula>
    </cfRule>
  </conditionalFormatting>
  <conditionalFormatting sqref="AO29">
    <cfRule type="expression" priority="971" dxfId="3">
      <formula>AO29=1</formula>
    </cfRule>
  </conditionalFormatting>
  <conditionalFormatting sqref="AP29">
    <cfRule type="expression" priority="972" dxfId="3">
      <formula>AP29=1</formula>
    </cfRule>
  </conditionalFormatting>
  <conditionalFormatting sqref="AQ29">
    <cfRule type="expression" priority="973" dxfId="3">
      <formula>AQ29=1</formula>
    </cfRule>
  </conditionalFormatting>
  <conditionalFormatting sqref="AR29">
    <cfRule type="expression" priority="974" dxfId="3">
      <formula>AR29=1</formula>
    </cfRule>
  </conditionalFormatting>
  <conditionalFormatting sqref="AS29">
    <cfRule type="expression" priority="975" dxfId="3">
      <formula>AS29=1</formula>
    </cfRule>
  </conditionalFormatting>
  <conditionalFormatting sqref="G30">
    <cfRule type="expression" priority="976" dxfId="3">
      <formula>G30=1</formula>
    </cfRule>
  </conditionalFormatting>
  <conditionalFormatting sqref="H30">
    <cfRule type="expression" priority="977" dxfId="3">
      <formula>H30=1</formula>
    </cfRule>
  </conditionalFormatting>
  <conditionalFormatting sqref="I30">
    <cfRule type="expression" priority="978" dxfId="3">
      <formula>I30=1</formula>
    </cfRule>
  </conditionalFormatting>
  <conditionalFormatting sqref="J30">
    <cfRule type="expression" priority="979" dxfId="3">
      <formula>J30=1</formula>
    </cfRule>
  </conditionalFormatting>
  <conditionalFormatting sqref="K30">
    <cfRule type="expression" priority="980" dxfId="3">
      <formula>K30=1</formula>
    </cfRule>
  </conditionalFormatting>
  <conditionalFormatting sqref="L30">
    <cfRule type="expression" priority="981" dxfId="3">
      <formula>L30=1</formula>
    </cfRule>
  </conditionalFormatting>
  <conditionalFormatting sqref="M30">
    <cfRule type="expression" priority="982" dxfId="3">
      <formula>M30=1</formula>
    </cfRule>
  </conditionalFormatting>
  <conditionalFormatting sqref="N30">
    <cfRule type="expression" priority="983" dxfId="3">
      <formula>N30=1</formula>
    </cfRule>
  </conditionalFormatting>
  <conditionalFormatting sqref="O30">
    <cfRule type="expression" priority="984" dxfId="3">
      <formula>O30=1</formula>
    </cfRule>
  </conditionalFormatting>
  <conditionalFormatting sqref="P30">
    <cfRule type="expression" priority="985" dxfId="3">
      <formula>P30=1</formula>
    </cfRule>
  </conditionalFormatting>
  <conditionalFormatting sqref="Q30">
    <cfRule type="expression" priority="986" dxfId="3">
      <formula>Q30=1</formula>
    </cfRule>
  </conditionalFormatting>
  <conditionalFormatting sqref="R30">
    <cfRule type="expression" priority="987" dxfId="3">
      <formula>R30=1</formula>
    </cfRule>
  </conditionalFormatting>
  <conditionalFormatting sqref="S30">
    <cfRule type="expression" priority="988" dxfId="3">
      <formula>S30=1</formula>
    </cfRule>
  </conditionalFormatting>
  <conditionalFormatting sqref="T30">
    <cfRule type="expression" priority="989" dxfId="3">
      <formula>T30=1</formula>
    </cfRule>
  </conditionalFormatting>
  <conditionalFormatting sqref="U30">
    <cfRule type="expression" priority="990" dxfId="3">
      <formula>U30=1</formula>
    </cfRule>
  </conditionalFormatting>
  <conditionalFormatting sqref="V30">
    <cfRule type="expression" priority="991" dxfId="3">
      <formula>V30=1</formula>
    </cfRule>
  </conditionalFormatting>
  <conditionalFormatting sqref="W30">
    <cfRule type="expression" priority="992" dxfId="3">
      <formula>W30=1</formula>
    </cfRule>
  </conditionalFormatting>
  <conditionalFormatting sqref="X30">
    <cfRule type="expression" priority="993" dxfId="3">
      <formula>X30=1</formula>
    </cfRule>
  </conditionalFormatting>
  <conditionalFormatting sqref="Y30">
    <cfRule type="expression" priority="994" dxfId="3">
      <formula>Y30=1</formula>
    </cfRule>
  </conditionalFormatting>
  <conditionalFormatting sqref="Z30">
    <cfRule type="expression" priority="995" dxfId="3">
      <formula>Z30=1</formula>
    </cfRule>
  </conditionalFormatting>
  <conditionalFormatting sqref="AA30">
    <cfRule type="expression" priority="996" dxfId="3">
      <formula>AA30=1</formula>
    </cfRule>
  </conditionalFormatting>
  <conditionalFormatting sqref="AB30">
    <cfRule type="expression" priority="997" dxfId="3">
      <formula>AB30=1</formula>
    </cfRule>
  </conditionalFormatting>
  <conditionalFormatting sqref="AC30">
    <cfRule type="expression" priority="998" dxfId="3">
      <formula>AC30=1</formula>
    </cfRule>
  </conditionalFormatting>
  <conditionalFormatting sqref="AD30">
    <cfRule type="expression" priority="999" dxfId="3">
      <formula>AD30=1</formula>
    </cfRule>
  </conditionalFormatting>
  <conditionalFormatting sqref="AE30">
    <cfRule type="expression" priority="1000" dxfId="3">
      <formula>AE30=1</formula>
    </cfRule>
  </conditionalFormatting>
  <conditionalFormatting sqref="AF30">
    <cfRule type="expression" priority="1001" dxfId="3">
      <formula>AF30=1</formula>
    </cfRule>
  </conditionalFormatting>
  <conditionalFormatting sqref="AG30">
    <cfRule type="expression" priority="1002" dxfId="3">
      <formula>AG30=1</formula>
    </cfRule>
  </conditionalFormatting>
  <conditionalFormatting sqref="AH30">
    <cfRule type="expression" priority="1003" dxfId="3">
      <formula>AH30=1</formula>
    </cfRule>
  </conditionalFormatting>
  <conditionalFormatting sqref="AI30">
    <cfRule type="expression" priority="1004" dxfId="3">
      <formula>AI30=1</formula>
    </cfRule>
  </conditionalFormatting>
  <conditionalFormatting sqref="AJ30">
    <cfRule type="expression" priority="1005" dxfId="3">
      <formula>AJ30=1</formula>
    </cfRule>
  </conditionalFormatting>
  <conditionalFormatting sqref="AK30">
    <cfRule type="expression" priority="1006" dxfId="3">
      <formula>AK30=1</formula>
    </cfRule>
  </conditionalFormatting>
  <conditionalFormatting sqref="AL30">
    <cfRule type="expression" priority="1007" dxfId="3">
      <formula>AL30=1</formula>
    </cfRule>
  </conditionalFormatting>
  <conditionalFormatting sqref="AM30">
    <cfRule type="expression" priority="1008" dxfId="3">
      <formula>AM30=1</formula>
    </cfRule>
  </conditionalFormatting>
  <conditionalFormatting sqref="AN30">
    <cfRule type="expression" priority="1009" dxfId="3">
      <formula>AN30=1</formula>
    </cfRule>
  </conditionalFormatting>
  <conditionalFormatting sqref="AO30">
    <cfRule type="expression" priority="1010" dxfId="3">
      <formula>AO30=1</formula>
    </cfRule>
  </conditionalFormatting>
  <conditionalFormatting sqref="AP30">
    <cfRule type="expression" priority="1011" dxfId="3">
      <formula>AP30=1</formula>
    </cfRule>
  </conditionalFormatting>
  <conditionalFormatting sqref="AQ30">
    <cfRule type="expression" priority="1012" dxfId="3">
      <formula>AQ30=1</formula>
    </cfRule>
  </conditionalFormatting>
  <conditionalFormatting sqref="AR30">
    <cfRule type="expression" priority="1013" dxfId="3">
      <formula>AR30=1</formula>
    </cfRule>
  </conditionalFormatting>
  <conditionalFormatting sqref="AS30">
    <cfRule type="expression" priority="1014" dxfId="3">
      <formula>AS30=1</formula>
    </cfRule>
  </conditionalFormatting>
  <conditionalFormatting sqref="G31">
    <cfRule type="expression" priority="1015" dxfId="3">
      <formula>G31=1</formula>
    </cfRule>
  </conditionalFormatting>
  <conditionalFormatting sqref="H31">
    <cfRule type="expression" priority="1016" dxfId="3">
      <formula>H31=1</formula>
    </cfRule>
  </conditionalFormatting>
  <conditionalFormatting sqref="I31">
    <cfRule type="expression" priority="1017" dxfId="3">
      <formula>I31=1</formula>
    </cfRule>
  </conditionalFormatting>
  <conditionalFormatting sqref="J31">
    <cfRule type="expression" priority="1018" dxfId="3">
      <formula>J31=1</formula>
    </cfRule>
  </conditionalFormatting>
  <conditionalFormatting sqref="K31">
    <cfRule type="expression" priority="1019" dxfId="3">
      <formula>K31=1</formula>
    </cfRule>
  </conditionalFormatting>
  <conditionalFormatting sqref="L31">
    <cfRule type="expression" priority="1020" dxfId="3">
      <formula>L31=1</formula>
    </cfRule>
  </conditionalFormatting>
  <conditionalFormatting sqref="M31">
    <cfRule type="expression" priority="1021" dxfId="3">
      <formula>M31=1</formula>
    </cfRule>
  </conditionalFormatting>
  <conditionalFormatting sqref="N31">
    <cfRule type="expression" priority="1022" dxfId="3">
      <formula>N31=1</formula>
    </cfRule>
  </conditionalFormatting>
  <conditionalFormatting sqref="O31">
    <cfRule type="expression" priority="1023" dxfId="3">
      <formula>O31=1</formula>
    </cfRule>
  </conditionalFormatting>
  <conditionalFormatting sqref="P31">
    <cfRule type="expression" priority="1024" dxfId="3">
      <formula>P31=1</formula>
    </cfRule>
  </conditionalFormatting>
  <conditionalFormatting sqref="Q31">
    <cfRule type="expression" priority="1025" dxfId="3">
      <formula>Q31=1</formula>
    </cfRule>
  </conditionalFormatting>
  <conditionalFormatting sqref="R31">
    <cfRule type="expression" priority="1026" dxfId="3">
      <formula>R31=1</formula>
    </cfRule>
  </conditionalFormatting>
  <conditionalFormatting sqref="S31">
    <cfRule type="expression" priority="1027" dxfId="3">
      <formula>S31=1</formula>
    </cfRule>
  </conditionalFormatting>
  <conditionalFormatting sqref="T31">
    <cfRule type="expression" priority="1028" dxfId="3">
      <formula>T31=1</formula>
    </cfRule>
  </conditionalFormatting>
  <conditionalFormatting sqref="U31">
    <cfRule type="expression" priority="1029" dxfId="3">
      <formula>U31=1</formula>
    </cfRule>
  </conditionalFormatting>
  <conditionalFormatting sqref="V31">
    <cfRule type="expression" priority="1030" dxfId="3">
      <formula>V31=1</formula>
    </cfRule>
  </conditionalFormatting>
  <conditionalFormatting sqref="W31">
    <cfRule type="expression" priority="1031" dxfId="3">
      <formula>W31=1</formula>
    </cfRule>
  </conditionalFormatting>
  <conditionalFormatting sqref="X31">
    <cfRule type="expression" priority="1032" dxfId="3">
      <formula>X31=1</formula>
    </cfRule>
  </conditionalFormatting>
  <conditionalFormatting sqref="Y31">
    <cfRule type="expression" priority="1033" dxfId="3">
      <formula>Y31=1</formula>
    </cfRule>
  </conditionalFormatting>
  <conditionalFormatting sqref="Z31">
    <cfRule type="expression" priority="1034" dxfId="3">
      <formula>Z31=1</formula>
    </cfRule>
  </conditionalFormatting>
  <conditionalFormatting sqref="AA31">
    <cfRule type="expression" priority="1035" dxfId="3">
      <formula>AA31=1</formula>
    </cfRule>
  </conditionalFormatting>
  <conditionalFormatting sqref="AB31">
    <cfRule type="expression" priority="1036" dxfId="3">
      <formula>AB31=1</formula>
    </cfRule>
  </conditionalFormatting>
  <conditionalFormatting sqref="AC31">
    <cfRule type="expression" priority="1037" dxfId="3">
      <formula>AC31=1</formula>
    </cfRule>
  </conditionalFormatting>
  <conditionalFormatting sqref="AD31">
    <cfRule type="expression" priority="1038" dxfId="3">
      <formula>AD31=1</formula>
    </cfRule>
  </conditionalFormatting>
  <conditionalFormatting sqref="AE31">
    <cfRule type="expression" priority="1039" dxfId="3">
      <formula>AE31=1</formula>
    </cfRule>
  </conditionalFormatting>
  <conditionalFormatting sqref="AF31">
    <cfRule type="expression" priority="1040" dxfId="3">
      <formula>AF31=1</formula>
    </cfRule>
  </conditionalFormatting>
  <conditionalFormatting sqref="AG31">
    <cfRule type="expression" priority="1041" dxfId="3">
      <formula>AG31=1</formula>
    </cfRule>
  </conditionalFormatting>
  <conditionalFormatting sqref="AH31">
    <cfRule type="expression" priority="1042" dxfId="3">
      <formula>AH31=1</formula>
    </cfRule>
  </conditionalFormatting>
  <conditionalFormatting sqref="AI31">
    <cfRule type="expression" priority="1043" dxfId="3">
      <formula>AI31=1</formula>
    </cfRule>
  </conditionalFormatting>
  <conditionalFormatting sqref="AJ31">
    <cfRule type="expression" priority="1044" dxfId="3">
      <formula>AJ31=1</formula>
    </cfRule>
  </conditionalFormatting>
  <conditionalFormatting sqref="AK31">
    <cfRule type="expression" priority="1045" dxfId="3">
      <formula>AK31=1</formula>
    </cfRule>
  </conditionalFormatting>
  <conditionalFormatting sqref="AL31">
    <cfRule type="expression" priority="1046" dxfId="3">
      <formula>AL31=1</formula>
    </cfRule>
  </conditionalFormatting>
  <conditionalFormatting sqref="AM31">
    <cfRule type="expression" priority="1047" dxfId="3">
      <formula>AM31=1</formula>
    </cfRule>
  </conditionalFormatting>
  <conditionalFormatting sqref="AN31">
    <cfRule type="expression" priority="1048" dxfId="3">
      <formula>AN31=1</formula>
    </cfRule>
  </conditionalFormatting>
  <conditionalFormatting sqref="AO31">
    <cfRule type="expression" priority="1049" dxfId="3">
      <formula>AO31=1</formula>
    </cfRule>
  </conditionalFormatting>
  <conditionalFormatting sqref="AP31">
    <cfRule type="expression" priority="1050" dxfId="3">
      <formula>AP31=1</formula>
    </cfRule>
  </conditionalFormatting>
  <conditionalFormatting sqref="AQ31">
    <cfRule type="expression" priority="1051" dxfId="3">
      <formula>AQ31=1</formula>
    </cfRule>
  </conditionalFormatting>
  <conditionalFormatting sqref="AR31">
    <cfRule type="expression" priority="1052" dxfId="3">
      <formula>AR31=1</formula>
    </cfRule>
  </conditionalFormatting>
  <conditionalFormatting sqref="AS31">
    <cfRule type="expression" priority="1053" dxfId="3">
      <formula>AS31=1</formula>
    </cfRule>
  </conditionalFormatting>
  <conditionalFormatting sqref="G32">
    <cfRule type="expression" priority="1054" dxfId="3">
      <formula>G32=1</formula>
    </cfRule>
  </conditionalFormatting>
  <conditionalFormatting sqref="H32">
    <cfRule type="expression" priority="1055" dxfId="3">
      <formula>H32=1</formula>
    </cfRule>
  </conditionalFormatting>
  <conditionalFormatting sqref="I32">
    <cfRule type="expression" priority="1056" dxfId="3">
      <formula>I32=1</formula>
    </cfRule>
  </conditionalFormatting>
  <conditionalFormatting sqref="J32">
    <cfRule type="expression" priority="1057" dxfId="3">
      <formula>J32=1</formula>
    </cfRule>
  </conditionalFormatting>
  <conditionalFormatting sqref="K32">
    <cfRule type="expression" priority="1058" dxfId="3">
      <formula>K32=1</formula>
    </cfRule>
  </conditionalFormatting>
  <conditionalFormatting sqref="L32">
    <cfRule type="expression" priority="1059" dxfId="3">
      <formula>L32=1</formula>
    </cfRule>
  </conditionalFormatting>
  <conditionalFormatting sqref="M32">
    <cfRule type="expression" priority="1060" dxfId="3">
      <formula>M32=1</formula>
    </cfRule>
  </conditionalFormatting>
  <conditionalFormatting sqref="N32">
    <cfRule type="expression" priority="1061" dxfId="3">
      <formula>N32=1</formula>
    </cfRule>
  </conditionalFormatting>
  <conditionalFormatting sqref="O32">
    <cfRule type="expression" priority="1062" dxfId="3">
      <formula>O32=1</formula>
    </cfRule>
  </conditionalFormatting>
  <conditionalFormatting sqref="P32">
    <cfRule type="expression" priority="1063" dxfId="3">
      <formula>P32=1</formula>
    </cfRule>
  </conditionalFormatting>
  <conditionalFormatting sqref="Q32">
    <cfRule type="expression" priority="1064" dxfId="3">
      <formula>Q32=1</formula>
    </cfRule>
  </conditionalFormatting>
  <conditionalFormatting sqref="R32">
    <cfRule type="expression" priority="1065" dxfId="3">
      <formula>R32=1</formula>
    </cfRule>
  </conditionalFormatting>
  <conditionalFormatting sqref="S32">
    <cfRule type="expression" priority="1066" dxfId="3">
      <formula>S32=1</formula>
    </cfRule>
  </conditionalFormatting>
  <conditionalFormatting sqref="T32">
    <cfRule type="expression" priority="1067" dxfId="3">
      <formula>T32=1</formula>
    </cfRule>
  </conditionalFormatting>
  <conditionalFormatting sqref="U32">
    <cfRule type="expression" priority="1068" dxfId="3">
      <formula>U32=1</formula>
    </cfRule>
  </conditionalFormatting>
  <conditionalFormatting sqref="V32">
    <cfRule type="expression" priority="1069" dxfId="3">
      <formula>V32=1</formula>
    </cfRule>
  </conditionalFormatting>
  <conditionalFormatting sqref="W32">
    <cfRule type="expression" priority="1070" dxfId="3">
      <formula>W32=1</formula>
    </cfRule>
  </conditionalFormatting>
  <conditionalFormatting sqref="X32">
    <cfRule type="expression" priority="1071" dxfId="3">
      <formula>X32=1</formula>
    </cfRule>
  </conditionalFormatting>
  <conditionalFormatting sqref="Y32">
    <cfRule type="expression" priority="1072" dxfId="3">
      <formula>Y32=1</formula>
    </cfRule>
  </conditionalFormatting>
  <conditionalFormatting sqref="Z32">
    <cfRule type="expression" priority="1073" dxfId="3">
      <formula>Z32=1</formula>
    </cfRule>
  </conditionalFormatting>
  <conditionalFormatting sqref="AA32">
    <cfRule type="expression" priority="1074" dxfId="3">
      <formula>AA32=1</formula>
    </cfRule>
  </conditionalFormatting>
  <conditionalFormatting sqref="AB32">
    <cfRule type="expression" priority="1075" dxfId="3">
      <formula>AB32=1</formula>
    </cfRule>
  </conditionalFormatting>
  <conditionalFormatting sqref="AC32">
    <cfRule type="expression" priority="1076" dxfId="3">
      <formula>AC32=1</formula>
    </cfRule>
  </conditionalFormatting>
  <conditionalFormatting sqref="AD32">
    <cfRule type="expression" priority="1077" dxfId="3">
      <formula>AD32=1</formula>
    </cfRule>
  </conditionalFormatting>
  <conditionalFormatting sqref="AE32">
    <cfRule type="expression" priority="1078" dxfId="3">
      <formula>AE32=1</formula>
    </cfRule>
  </conditionalFormatting>
  <conditionalFormatting sqref="AF32">
    <cfRule type="expression" priority="1079" dxfId="3">
      <formula>AF32=1</formula>
    </cfRule>
  </conditionalFormatting>
  <conditionalFormatting sqref="AG32">
    <cfRule type="expression" priority="1080" dxfId="3">
      <formula>AG32=1</formula>
    </cfRule>
  </conditionalFormatting>
  <conditionalFormatting sqref="AH32">
    <cfRule type="expression" priority="1081" dxfId="3">
      <formula>AH32=1</formula>
    </cfRule>
  </conditionalFormatting>
  <conditionalFormatting sqref="AI32">
    <cfRule type="expression" priority="1082" dxfId="3">
      <formula>AI32=1</formula>
    </cfRule>
  </conditionalFormatting>
  <conditionalFormatting sqref="AJ32">
    <cfRule type="expression" priority="1083" dxfId="3">
      <formula>AJ32=1</formula>
    </cfRule>
  </conditionalFormatting>
  <conditionalFormatting sqref="AK32">
    <cfRule type="expression" priority="1084" dxfId="3">
      <formula>AK32=1</formula>
    </cfRule>
  </conditionalFormatting>
  <conditionalFormatting sqref="AL32">
    <cfRule type="expression" priority="1085" dxfId="3">
      <formula>AL32=1</formula>
    </cfRule>
  </conditionalFormatting>
  <conditionalFormatting sqref="AM32">
    <cfRule type="expression" priority="1086" dxfId="3">
      <formula>AM32=1</formula>
    </cfRule>
  </conditionalFormatting>
  <conditionalFormatting sqref="AN32">
    <cfRule type="expression" priority="1087" dxfId="3">
      <formula>AN32=1</formula>
    </cfRule>
  </conditionalFormatting>
  <conditionalFormatting sqref="AO32">
    <cfRule type="expression" priority="1088" dxfId="3">
      <formula>AO32=1</formula>
    </cfRule>
  </conditionalFormatting>
  <conditionalFormatting sqref="AP32">
    <cfRule type="expression" priority="1089" dxfId="3">
      <formula>AP32=1</formula>
    </cfRule>
  </conditionalFormatting>
  <conditionalFormatting sqref="AQ32">
    <cfRule type="expression" priority="1090" dxfId="3">
      <formula>AQ32=1</formula>
    </cfRule>
  </conditionalFormatting>
  <conditionalFormatting sqref="AR32">
    <cfRule type="expression" priority="1091" dxfId="3">
      <formula>AR32=1</formula>
    </cfRule>
  </conditionalFormatting>
  <conditionalFormatting sqref="AS32">
    <cfRule type="expression" priority="1092" dxfId="3">
      <formula>AS32=1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customWidth="1" min="1" max="1" width="18"/>
    <col customWidth="1" min="2" max="2" width="52"/>
    <col customWidth="1" min="3" max="3" width="14"/>
    <col customWidth="1" min="4" max="4" width="11"/>
    <col customWidth="1" min="5" max="5" width="14"/>
    <col customWidth="1" min="6" max="6" width="50"/>
    <col customWidth="1" min="7" max="7" width="11"/>
    <col customWidth="1" min="8" max="8" width="14"/>
  </cols>
  <sheetData>
    <row r="1">
      <c r="A1" s="9" t="inlineStr">
        <is>
          <t xml:space="preserve">NOVA — JALONS DE PILOTAGE</t>
        </is>
      </c>
    </row>
    <row r="3">
      <c r="A3" s="11" t="inlineStr">
        <is>
          <t>Jalon</t>
        </is>
      </c>
      <c r="B3" s="11" t="inlineStr">
        <is>
          <t xml:space="preserve">Résultat attendu</t>
        </is>
      </c>
      <c r="C3" s="11" t="inlineStr">
        <is>
          <t>Cible</t>
        </is>
      </c>
      <c r="D3" s="11" t="inlineStr">
        <is>
          <t>Criticité</t>
        </is>
      </c>
      <c r="E3" s="11" t="inlineStr">
        <is>
          <t>Statut</t>
        </is>
      </c>
      <c r="F3" s="11" t="inlineStr">
        <is>
          <t xml:space="preserve">Preuve attendue</t>
        </is>
      </c>
      <c r="G3" s="11" t="inlineStr">
        <is>
          <t>Retard</t>
        </is>
      </c>
      <c r="H3" s="11" t="inlineStr">
        <is>
          <t>Décision</t>
        </is>
      </c>
    </row>
    <row r="4">
      <c r="A4" s="15" t="inlineStr">
        <is>
          <t>M1</t>
        </is>
      </c>
      <c r="B4" s="15" t="inlineStr">
        <is>
          <t xml:space="preserve">BFF ↔ Runtime réellement connecté</t>
        </is>
      </c>
      <c r="C4" s="28">
        <v>46301</v>
      </c>
      <c r="D4" s="15" t="inlineStr">
        <is>
          <t>P0</t>
        </is>
      </c>
      <c r="E4" s="15" t="inlineStr">
        <is>
          <t xml:space="preserve">À faire</t>
        </is>
      </c>
      <c r="F4" s="15" t="inlineStr">
        <is>
          <t xml:space="preserve">POST /api/runtime/execute exécuté sur Runtime réel</t>
        </is>
      </c>
      <c r="G4" s="15">
        <f>IF(E4="Terminé",0,MAX(0,TODAY()-C4))</f>
      </c>
      <c r="H4" s="15">
        <f>IF(E4="Terminé","CLOS",IF(G4&gt;0,"RETARD","OUVERT"))</f>
      </c>
    </row>
    <row r="5">
      <c r="A5" s="15" t="inlineStr">
        <is>
          <t>M2</t>
        </is>
      </c>
      <c r="B5" s="15" t="inlineStr">
        <is>
          <t xml:space="preserve">Confirm crée/lance une Mission puis un Work réel</t>
        </is>
      </c>
      <c r="C5" s="28">
        <v>46307</v>
      </c>
      <c r="D5" s="15" t="inlineStr">
        <is>
          <t>P0</t>
        </is>
      </c>
      <c r="E5" s="15" t="inlineStr">
        <is>
          <t xml:space="preserve">À faire</t>
        </is>
      </c>
      <c r="F5" s="15" t="inlineStr">
        <is>
          <t xml:space="preserve">preuve E2E Mission → Work</t>
        </is>
      </c>
      <c r="G5" s="15">
        <f>IF(E5="Terminé",0,MAX(0,TODAY()-C5))</f>
      </c>
      <c r="H5" s="15">
        <f>IF(E5="Terminé","CLOS",IF(G5&gt;0,"RETARD","OUVERT"))</f>
      </c>
    </row>
    <row r="6">
      <c r="A6" s="15" t="inlineStr">
        <is>
          <t>M3</t>
        </is>
      </c>
      <c r="B6" s="15" t="inlineStr">
        <is>
          <t xml:space="preserve">Tous les onglets Work prioritaires utilisent des données réelles</t>
        </is>
      </c>
      <c r="C6" s="28">
        <v>46318</v>
      </c>
      <c r="D6" s="15" t="inlineStr">
        <is>
          <t>P0</t>
        </is>
      </c>
      <c r="E6" s="15" t="inlineStr">
        <is>
          <t xml:space="preserve">À faire</t>
        </is>
      </c>
      <c r="F6" s="15" t="inlineStr">
        <is>
          <t xml:space="preserve">fixtures retirées du chemin produit</t>
        </is>
      </c>
      <c r="G6" s="15">
        <f>IF(E6="Terminé",0,MAX(0,TODAY()-C6))</f>
      </c>
      <c r="H6" s="15">
        <f>IF(E6="Terminé","CLOS",IF(G6&gt;0,"RETARD","OUVERT"))</f>
      </c>
    </row>
    <row r="7">
      <c r="A7" s="15" t="inlineStr">
        <is>
          <t>M4</t>
        </is>
      </c>
      <c r="B7" s="15" t="inlineStr">
        <is>
          <t xml:space="preserve">Décision humaine réellement persistée et traçable</t>
        </is>
      </c>
      <c r="C7" s="28">
        <v>46325</v>
      </c>
      <c r="D7" s="15" t="inlineStr">
        <is>
          <t>P0</t>
        </is>
      </c>
      <c r="E7" s="15" t="inlineStr">
        <is>
          <t xml:space="preserve">À auditer</t>
        </is>
      </c>
      <c r="F7" s="15" t="inlineStr">
        <is>
          <t xml:space="preserve">Review → Decide → Record → Receipt</t>
        </is>
      </c>
      <c r="G7" s="15">
        <f>IF(E7="Terminé",0,MAX(0,TODAY()-C7))</f>
      </c>
      <c r="H7" s="15">
        <f>IF(E7="Terminé","CLOS",IF(G7&gt;0,"RETARD","OUVERT"))</f>
      </c>
    </row>
    <row r="8">
      <c r="A8" s="15" t="inlineStr">
        <is>
          <t>M5</t>
        </is>
      </c>
      <c r="B8" s="15" t="inlineStr">
        <is>
          <t xml:space="preserve">Anciens blocages production P1 revalidés sur HEAD actuel</t>
        </is>
      </c>
      <c r="C8" s="28">
        <v>46339</v>
      </c>
      <c r="D8" s="15" t="inlineStr">
        <is>
          <t>P0</t>
        </is>
      </c>
      <c r="E8" s="15" t="inlineStr">
        <is>
          <t xml:space="preserve">À auditer</t>
        </is>
      </c>
      <c r="F8" s="15" t="inlineStr">
        <is>
          <t xml:space="preserve">Execution Integrity, Persistence, Integration, Git Provenance</t>
        </is>
      </c>
      <c r="G8" s="15">
        <f>IF(E8="Terminé",0,MAX(0,TODAY()-C8))</f>
      </c>
      <c r="H8" s="15">
        <f>IF(E8="Terminé","CLOS",IF(G8&gt;0,"RETARD","OUVERT"))</f>
      </c>
    </row>
    <row r="9">
      <c r="A9" s="15" t="inlineStr">
        <is>
          <t>M6</t>
        </is>
      </c>
      <c r="B9" s="15" t="inlineStr">
        <is>
          <t xml:space="preserve">Recette produit complète PASS</t>
        </is>
      </c>
      <c r="C9" s="28">
        <v>46344</v>
      </c>
      <c r="D9" s="15" t="inlineStr">
        <is>
          <t>P0</t>
        </is>
      </c>
      <c r="E9" s="15" t="inlineStr">
        <is>
          <t xml:space="preserve">À faire</t>
        </is>
      </c>
      <c r="F9" s="15" t="inlineStr">
        <is>
          <t xml:space="preserve">Front + BFF + Core + Runtime + persistance</t>
        </is>
      </c>
      <c r="G9" s="15">
        <f>IF(E9="Terminé",0,MAX(0,TODAY()-C9))</f>
      </c>
      <c r="H9" s="15">
        <f>IF(E9="Terminé","CLOS",IF(G9&gt;0,"RETARD","OUVERT"))</f>
      </c>
    </row>
    <row r="10">
      <c r="A10" s="15" t="inlineStr">
        <is>
          <t>M7</t>
        </is>
      </c>
      <c r="B10" s="15" t="inlineStr">
        <is>
          <t xml:space="preserve">Décision production actuelle</t>
        </is>
      </c>
      <c r="C10" s="28">
        <v>46345</v>
      </c>
      <c r="D10" s="15" t="inlineStr">
        <is>
          <t>P0</t>
        </is>
      </c>
      <c r="E10" s="15" t="inlineStr">
        <is>
          <t xml:space="preserve">À faire</t>
        </is>
      </c>
      <c r="F10" s="15" t="inlineStr">
        <is>
          <t xml:space="preserve">GO/NO GO fondé sur preuves actuelles</t>
        </is>
      </c>
      <c r="G10" s="15">
        <f>IF(E10="Terminé",0,MAX(0,TODAY()-C10))</f>
      </c>
      <c r="H10" s="15">
        <f>IF(E10="Terminé","CLOS",IF(G10&gt;0,"RETARD","OUVERT"))</f>
      </c>
    </row>
  </sheetData>
  <mergeCells count="1">
    <mergeCell ref="A1:H1"/>
  </mergeCells>
  <conditionalFormatting sqref="H4:H10">
    <cfRule type="expression" priority="1" dxfId="0">
      <formula>$H4="RETARD"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selection activeCell="A1" sqref="A1"/>
    </sheetView>
  </sheetViews>
  <sheetFormatPr baseColWidth="8" defaultRowHeight="15"/>
  <cols>
    <col customWidth="1" min="1" max="1" width="28"/>
    <col customWidth="1" min="2" max="2" width="18"/>
    <col customWidth="1" min="3" max="3" width="18"/>
    <col customWidth="1" min="4" max="4" width="18"/>
    <col customWidth="1" min="5" max="5" width="18"/>
    <col customWidth="1" min="6" max="6" width="18"/>
  </cols>
  <sheetData>
    <row r="1">
      <c r="A1" s="9" t="inlineStr">
        <is>
          <t xml:space="preserve">NOVA — SYNTHÈSE EXÉCUTIVE</t>
        </is>
      </c>
    </row>
    <row r="3">
      <c r="A3" s="17" t="inlineStr">
        <is>
          <t xml:space="preserve">Date baseline</t>
        </is>
      </c>
      <c r="B3" s="29">
        <v>46294</v>
      </c>
    </row>
    <row r="4">
      <c r="A4" s="17" t="inlineStr">
        <is>
          <t xml:space="preserve">Nombre d'actions</t>
        </is>
      </c>
      <c r="B4" s="19">
        <f>COUNTA(Roadmap!A5:A32)</f>
      </c>
    </row>
    <row r="5">
      <c r="A5" s="17" t="inlineStr">
        <is>
          <t xml:space="preserve">Actions P0</t>
        </is>
      </c>
      <c r="B5" s="19">
        <f>COUNTIF(Roadmap!E5:E32,"P0")</f>
      </c>
    </row>
    <row r="6">
      <c r="A6" s="17" t="inlineStr">
        <is>
          <t xml:space="preserve">Actions terminées</t>
        </is>
      </c>
      <c r="B6" s="19">
        <f>COUNTIF(Roadmap!G5:G32,"Terminé")</f>
      </c>
    </row>
    <row r="7">
      <c r="A7" s="17" t="inlineStr">
        <is>
          <t xml:space="preserve">Actions en retard</t>
        </is>
      </c>
      <c r="B7" s="19">
        <f>COUNTIF(Roadmap!N5:N32,"RETARD")</f>
      </c>
    </row>
    <row r="8">
      <c r="A8" s="17" t="inlineStr">
        <is>
          <t xml:space="preserve">Avancement global</t>
        </is>
      </c>
      <c r="B8" s="20">
        <f>IFERROR(AVERAGE(Roadmap!L5:L32),0)</f>
      </c>
    </row>
    <row r="10">
      <c r="A10" s="21" t="inlineStr">
        <is>
          <t xml:space="preserve">Lecture actuelle</t>
        </is>
      </c>
    </row>
    <row r="11">
      <c r="A11" s="15" t="inlineStr">
        <is>
          <t xml:space="preserve">Le moteur NOVA est très avancé ; le chantier principal est l'intégration produit de bout en bout.</t>
        </is>
      </c>
    </row>
    <row r="12">
      <c r="A12" s="15" t="inlineStr">
        <is>
          <t xml:space="preserve">Le premier gap prouvé est l'assemblage BFF ↔ Runtime : les composants existent mais start:bff ne les injecte pas.</t>
        </is>
      </c>
    </row>
    <row r="13">
      <c r="A13" s="15" t="inlineStr">
        <is>
          <t xml:space="preserve">Ne pas développer un nouveau « Create Work » : réutiliser Mission/Runtime puis Work.</t>
        </is>
      </c>
    </row>
    <row r="14">
      <c r="A14" s="15" t="inlineStr">
        <is>
          <t xml:space="preserve">Plan, People, Decisions et Deliverables existent côté moteur et doivent principalement être branchés à l'interface.</t>
        </is>
      </c>
    </row>
    <row r="15">
      <c r="A15" s="15" t="inlineStr">
        <is>
          <t xml:space="preserve">Sources doit d'abord être mappé sur Evidence ; ne pas créer un nouveau domaine sans preuve de nécessité.</t>
        </is>
      </c>
    </row>
    <row r="16">
      <c r="A16" s="15" t="inlineStr">
        <is>
          <t xml:space="preserve">Le NO_GO production de juillet 2026 est historique : les anciens blocages doivent être revalidés sur le code actuel.</t>
        </is>
      </c>
    </row>
  </sheetData>
  <mergeCells count="8">
    <mergeCell ref="A16:F16"/>
    <mergeCell ref="A11:F11"/>
    <mergeCell ref="A10:F10"/>
    <mergeCell ref="A13:F13"/>
    <mergeCell ref="A14:F14"/>
    <mergeCell ref="A1:F1"/>
    <mergeCell ref="A12:F12"/>
    <mergeCell ref="A15:F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selection activeCell="A1" sqref="A1"/>
    </sheetView>
  </sheetViews>
  <sheetFormatPr baseColWidth="8" defaultRowHeight="15"/>
  <cols>
    <col customWidth="1" min="1" max="1" width="28"/>
    <col customWidth="1" min="2" max="2" width="65"/>
    <col customWidth="1" min="3" max="3" width="18"/>
    <col customWidth="1" min="4" max="4" width="45"/>
    <col customWidth="1" min="5" max="5" width="48"/>
    <col customWidth="1" min="6" max="6" width="30"/>
  </cols>
  <sheetData>
    <row r="1">
      <c r="A1" s="9" t="inlineStr">
        <is>
          <t xml:space="preserve">AUTOMATISATION — SOURCE DE VÉRITÉ ET TRACKER</t>
        </is>
      </c>
    </row>
    <row r="3">
      <c r="A3" s="22" t="inlineStr">
        <is>
          <t>Élément</t>
        </is>
      </c>
      <c r="B3" s="22" t="inlineStr">
        <is>
          <t>Valeur</t>
        </is>
      </c>
      <c r="C3" s="22" t="inlineStr">
        <is>
          <t>État</t>
        </is>
      </c>
      <c r="D3" s="22" t="inlineStr">
        <is>
          <t>Rôle</t>
        </is>
      </c>
      <c r="E3" s="22" t="inlineStr">
        <is>
          <t>Action</t>
        </is>
      </c>
      <c r="F3" s="22" t="inlineStr">
        <is>
          <t>Source</t>
        </is>
      </c>
    </row>
    <row r="4">
      <c r="A4" s="15" t="inlineStr">
        <is>
          <t xml:space="preserve">Tracker historique retrouvé</t>
        </is>
      </c>
      <c r="B4" s="15" t="inlineStr">
        <is>
          <t>C:\DEV\NOVA_TRACKER_EXTRACTION_2026-09-25\NOVA_MISSION_PROGRESS_REPORT.md</t>
        </is>
      </c>
      <c r="C4" s="15" t="inlineStr">
        <is>
          <t>RETROUVÉ</t>
        </is>
      </c>
      <c r="D4" s="15" t="inlineStr">
        <is>
          <t xml:space="preserve">Projection mission</t>
        </is>
      </c>
      <c r="E4" s="15" t="inlineStr">
        <is>
          <t xml:space="preserve">Conserver comme sortie gouvernée</t>
        </is>
      </c>
      <c r="F4" s="15" t="inlineStr">
        <is>
          <t xml:space="preserve">Conversation 27/09/2026</t>
        </is>
      </c>
    </row>
    <row r="5">
      <c r="A5" s="15" t="inlineStr">
        <is>
          <t xml:space="preserve">Moteur historique retrouvé</t>
        </is>
      </c>
      <c r="B5" s="15" t="inlineStr">
        <is>
          <t>C:\DEV\NOVA_TRACKER_EXTRACTION_2026-09-25\Update-NovaProjectRoadmap.ps1</t>
        </is>
      </c>
      <c r="C5" s="15" t="inlineStr">
        <is>
          <t>RETROUVÉ</t>
        </is>
      </c>
      <c r="D5" s="15" t="inlineStr">
        <is>
          <t xml:space="preserve">Lit official-report.json et reconstruit ## Missions</t>
        </is>
      </c>
      <c r="E5" s="15" t="inlineStr">
        <is>
          <t xml:space="preserve">Réutiliser ; ne pas dupliquer la logique</t>
        </is>
      </c>
      <c r="F5" s="15" t="inlineStr">
        <is>
          <t xml:space="preserve">Conversation 27/09/2026</t>
        </is>
      </c>
    </row>
    <row r="6">
      <c r="A6" s="15" t="inlineStr">
        <is>
          <t xml:space="preserve">Source primaire</t>
        </is>
      </c>
      <c r="B6" s="15" t="inlineStr">
        <is>
          <t>official-report.json</t>
        </is>
      </c>
      <c r="C6" s="15" t="inlineStr">
        <is>
          <t>AUTORITÉ</t>
        </is>
      </c>
      <c r="D6" s="15" t="inlineStr">
        <is>
          <t xml:space="preserve">Faits d'exécution/certification</t>
        </is>
      </c>
      <c r="E6" s="15" t="inlineStr">
        <is>
          <t xml:space="preserve">Ne jamais remplacer par Excel</t>
        </is>
      </c>
      <c r="F6" s="15" t="inlineStr">
        <is>
          <t xml:space="preserve">Architecture de tracking retrouvée</t>
        </is>
      </c>
    </row>
    <row r="7">
      <c r="A7" s="15" t="inlineStr">
        <is>
          <t xml:space="preserve">Nouveau classeur</t>
        </is>
      </c>
      <c r="B7" s="15" t="inlineStr">
        <is>
          <t>NOVA_ROADMAP_GANTT_2026-09-29.xlsx</t>
        </is>
      </c>
      <c r="C7" s="15" t="inlineStr">
        <is>
          <t>NOUVEAU</t>
        </is>
      </c>
      <c r="D7" s="15" t="inlineStr">
        <is>
          <t xml:space="preserve">Projection de pilotage / Gantt</t>
        </is>
      </c>
      <c r="E7" s="15" t="inlineStr">
        <is>
          <t xml:space="preserve">Alimenter depuis le tracker gouverné</t>
        </is>
      </c>
      <c r="F7" s="15" t="inlineStr">
        <is>
          <t xml:space="preserve">Créé le 29/09/2026</t>
        </is>
      </c>
    </row>
    <row r="8">
      <c r="A8" s="15" t="inlineStr">
        <is>
          <t xml:space="preserve">Connexion automatique Excel</t>
        </is>
      </c>
      <c r="B8" s="15" t="inlineStr">
        <is>
          <t xml:space="preserve">Non retrouvée dans l'ancien travail</t>
        </is>
      </c>
      <c r="C8" s="15" t="inlineStr">
        <is>
          <t xml:space="preserve">À CONSTRUIRE</t>
        </is>
      </c>
      <c r="D8" s="15" t="inlineStr">
        <is>
          <t xml:space="preserve">Synchroniser statut/jalons sans faire d'Excel l'autorité</t>
        </is>
      </c>
      <c r="E8" s="15" t="inlineStr">
        <is>
          <t xml:space="preserve">Étape suivante : adaptateur tracker → xlsx</t>
        </is>
      </c>
      <c r="F8" s="15" t="inlineStr">
        <is>
          <t xml:space="preserve">Constat de récupération</t>
        </is>
      </c>
    </row>
    <row r="10">
      <c r="A10" s="15" t="inlineStr">
        <is>
          <t xml:space="preserve">Branchement Excel</t>
        </is>
      </c>
      <c r="B10" s="15" t="inlineStr">
        <is>
          <t xml:space="preserve">ACTIF APRÈS INSTALLATION DU SCRIPT MODIFIÉ</t>
        </is>
      </c>
      <c r="C10" s="15" t="inlineStr">
        <is>
          <t xml:space="preserve">Le même Update-NovaProjectRoadmap.ps1 met à jour Markdown + feuille Mission_Sync du classeur.</t>
        </is>
      </c>
    </row>
    <row r="11">
      <c r="A11" s="15" t="inlineStr">
        <is>
          <t xml:space="preserve">Protection statut Roadmap</t>
        </is>
      </c>
      <c r="B11" s="15" t="inlineStr">
        <is>
          <t>FAIL-CLOSED</t>
        </is>
      </c>
      <c r="C11" s="15" t="inlineStr">
        <is>
          <t xml:space="preserve">Une tâche ne passe à Terminé que si Mission liée est explicitement renseignée et que l’état final est ACCEPTED ou CERTIFIED.</t>
        </is>
      </c>
    </row>
    <row r="12">
      <c r="A12" s="15" t="inlineStr">
        <is>
          <t>Rattachement</t>
        </is>
      </c>
      <c r="B12" s="15" t="inlineStr">
        <is>
          <t>MANUEL/EXPLICITE</t>
        </is>
      </c>
      <c r="C12" s="15" t="inlineStr">
        <is>
          <t xml:space="preserve">Renseigner Roadmap!O (Mission liée). Aucun rapprochement par nom ou supposition.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 fitToPage="1"/>
  </sheetPr>
  <sheetViews>
    <sheetView showGridLines="0" workbookViewId="0">
      <selection activeCell="A1" sqref="A1"/>
    </sheetView>
  </sheetViews>
  <sheetFormatPr baseColWidth="8" defaultRowHeight="15"/>
  <cols>
    <col customWidth="1" min="1" max="1" width="55"/>
    <col customWidth="1" min="2" max="2" width="28"/>
    <col customWidth="1" min="3" max="3" width="38"/>
    <col customWidth="1" min="4" max="4" width="60"/>
  </cols>
  <sheetData>
    <row r="1">
      <c r="A1" s="9" t="inlineStr">
        <is>
          <t xml:space="preserve">SOURCES ET NIVEAU DE PREUVE</t>
        </is>
      </c>
    </row>
    <row r="3">
      <c r="A3" s="22" t="inlineStr">
        <is>
          <t>Source</t>
        </is>
      </c>
      <c r="B3" s="22" t="inlineStr">
        <is>
          <t>Type</t>
        </is>
      </c>
      <c r="C3" s="22" t="inlineStr">
        <is>
          <t>Utilisation</t>
        </is>
      </c>
      <c r="D3" s="22" t="inlineStr">
        <is>
          <t>Remarque</t>
        </is>
      </c>
    </row>
    <row r="4">
      <c r="A4" s="15" t="inlineStr">
        <is>
          <t>NOVA_MISSION_PROGRESS_REPORT.md</t>
        </is>
      </c>
      <c r="B4" s="15" t="inlineStr">
        <is>
          <t xml:space="preserve">Tracker historique retrouvé</t>
        </is>
      </c>
      <c r="C4" s="15" t="inlineStr">
        <is>
          <t xml:space="preserve">Architecture de suivi</t>
        </is>
      </c>
      <c r="D4" s="15" t="inlineStr">
        <is>
          <t xml:space="preserve">Mis à jour par Update-NovaProjectRoadmap.ps1</t>
        </is>
      </c>
    </row>
    <row r="5">
      <c r="A5" s="15" t="inlineStr">
        <is>
          <t>Update-NovaProjectRoadmap.ps1</t>
        </is>
      </c>
      <c r="B5" s="15" t="inlineStr">
        <is>
          <t xml:space="preserve">Moteur PowerShell retrouvé</t>
        </is>
      </c>
      <c r="C5" s="15" t="inlineStr">
        <is>
          <t>Automatisation</t>
        </is>
      </c>
      <c r="D5" s="15" t="inlineStr">
        <is>
          <t xml:space="preserve">Lit les official-report.json ; ne mettait pas Excel à jour</t>
        </is>
      </c>
    </row>
    <row r="6">
      <c r="A6" s="15" t="inlineStr">
        <is>
          <t xml:space="preserve">GitHub JEFF201230/Nova-Evolution2 / feature/nova-runtime-foundation</t>
        </is>
      </c>
      <c r="B6" s="15" t="inlineStr">
        <is>
          <t xml:space="preserve">Code actuel</t>
        </is>
      </c>
      <c r="C6" s="15" t="inlineStr">
        <is>
          <t xml:space="preserve">Audit as-built</t>
        </is>
      </c>
      <c r="D6" s="15" t="inlineStr">
        <is>
          <t xml:space="preserve">BFF, Runtime, Work, frontend</t>
        </is>
      </c>
    </row>
    <row r="7">
      <c r="A7" s="15" t="inlineStr">
        <is>
          <t>PROGRAM_003_IMPLEMENTATION_ROADMAP.md</t>
        </is>
      </c>
      <c r="B7" s="15" t="inlineStr">
        <is>
          <t xml:space="preserve">Roadmap historique réconciliée</t>
        </is>
      </c>
      <c r="C7" s="15" t="inlineStr">
        <is>
          <t>Baseline</t>
        </is>
      </c>
      <c r="D7" s="15" t="inlineStr">
        <is>
          <t xml:space="preserve">Section As-Built Reconciliation ajoutée le 29/09/2026</t>
        </is>
      </c>
    </row>
    <row r="8">
      <c r="A8" s="15" t="inlineStr">
        <is>
          <t xml:space="preserve">WCF-008 certification</t>
        </is>
      </c>
      <c r="B8" s="15" t="inlineStr">
        <is>
          <t xml:space="preserve">Certification actuelle</t>
        </is>
      </c>
      <c r="C8" s="15" t="inlineStr">
        <is>
          <t xml:space="preserve">État architecture WORK</t>
        </is>
      </c>
      <c r="D8" s="15" t="inlineStr">
        <is>
          <t xml:space="preserve">WCF-008 canonique CERTIFIED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summaryBelow="1" summaryRight="1"/>
    <pageSetUpPr/>
  </sheetPr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customWidth="1" min="1" max="1" width="48"/>
    <col customWidth="1" min="2" max="2" width="22"/>
    <col customWidth="1" min="3" max="3" width="22"/>
    <col customWidth="1" min="4" max="4" width="22"/>
    <col customWidth="1" min="5" max="5" width="70"/>
    <col customWidth="1" min="6" max="6" width="90"/>
    <col customWidth="1" min="7" max="7" width="24"/>
  </cols>
  <sheetData>
    <row r="1">
      <c r="A1" s="31" t="inlineStr">
        <is>
          <t>Mission</t>
        </is>
      </c>
      <c r="B1" s="31" t="inlineStr">
        <is>
          <t xml:space="preserve">État Runtime</t>
        </is>
      </c>
      <c r="C1" s="31" t="inlineStr">
        <is>
          <t xml:space="preserve">Décision autorité</t>
        </is>
      </c>
      <c r="D1" s="31" t="inlineStr">
        <is>
          <t xml:space="preserve">État final</t>
        </is>
      </c>
      <c r="E1" s="31" t="inlineStr">
        <is>
          <t xml:space="preserve">Empreinte rapport</t>
        </is>
      </c>
      <c r="F1" s="31" t="inlineStr">
        <is>
          <t>Preuve</t>
        </is>
      </c>
      <c r="G1" s="31" t="inlineStr">
        <is>
          <t xml:space="preserve">Dernière synchronisation</t>
        </is>
      </c>
    </row>
    <row r="2">
      <c r="A2" t="inlineStr">
        <is>
          <t>ARCH-EVIDENCE-001-C01-RECONCILIATION-001</t>
        </is>
      </c>
      <c r="B2" t="inlineStr">
        <is>
          <t>READY_FOR_REVIEW</t>
        </is>
      </c>
      <c r="C2" t="inlineStr">
        <is>
          <t>PENDING_REVIEW</t>
        </is>
      </c>
      <c r="D2" t="inlineStr">
        <is>
          <t>READY_FOR_REVIEW</t>
        </is>
      </c>
      <c r="E2" t="inlineStr">
        <is>
          <t>0A5B451AE01B4D647A6CEA900B719C6E5B69CA7542BC8B1F7DAD0D5E651DCA8F</t>
        </is>
      </c>
      <c r="F2" t="inlineStr">
        <is>
          <t>.nova-data\execution\reports\PROGRAM-003\ARCH-EVIDENCE-001-C01-RECONCILIATION-001\bootstrap-20260918T134120934\official-report.json</t>
        </is>
      </c>
      <c r="G2" t="inlineStr">
        <is>
          <t>2026-10-01 10:18:43</t>
        </is>
      </c>
    </row>
    <row r="3">
      <c r="A3" t="inlineStr">
        <is>
          <t>CEREBRAU-HISTORICAL-CERTIFICATION-BACKFILL-001</t>
        </is>
      </c>
      <c r="B3" t="inlineStr">
        <is>
          <t>READY_FOR_REVIEW</t>
        </is>
      </c>
      <c r="C3" t="inlineStr">
        <is>
          <t>PENDING_REVIEW</t>
        </is>
      </c>
      <c r="D3" t="inlineStr">
        <is>
          <t>READY_FOR_REVIEW</t>
        </is>
      </c>
      <c r="E3" t="inlineStr">
        <is>
          <t>39AB36E2A99FF5FBD08F5087DAC49EA72204C64CFA8D46FC7EC76D717704AAE8</t>
        </is>
      </c>
      <c r="F3" t="inlineStr">
        <is>
          <t>.nova-data\execution\reports\PROGRAM-003\CEREBRAU-HISTORICAL-CERTIFICATION-BACKFILL-001\bootstrap-20260918T152703537\official-report.json</t>
        </is>
      </c>
      <c r="G3" t="inlineStr">
        <is>
          <t>2026-10-01 10:18:43</t>
        </is>
      </c>
    </row>
    <row r="4">
      <c r="A4" t="inlineStr">
        <is>
          <t>CEREBRAU-TERMINAL-CERTIFICATION-REPAIR-001</t>
        </is>
      </c>
      <c r="B4" t="inlineStr">
        <is>
          <t>PARTIAL</t>
        </is>
      </c>
      <c r="C4" t="inlineStr">
        <is>
          <t>REJECTED</t>
        </is>
      </c>
      <c r="D4" t="inlineStr">
        <is>
          <t>REJECTED</t>
        </is>
      </c>
      <c r="E4" t="inlineStr">
        <is>
          <t>DD1ADB0E31FEA139206A4BCF994021958C308CDD1D9E577EB20743EA25A65D10</t>
        </is>
      </c>
      <c r="F4" t="inlineStr">
        <is>
          <t>.nova-data\execution\reports\PROGRAM-003\CEREBRAU-TERMINAL-CERTIFICATION-REPAIR-001\bootstrap-20260918T141057194\official-report.json</t>
        </is>
      </c>
      <c r="G4" t="inlineStr">
        <is>
          <t>2026-10-01 10:18:43</t>
        </is>
      </c>
    </row>
    <row r="5">
      <c r="A5" t="inlineStr">
        <is>
          <t>NOVA-EVIDENCE-INTELLIGENCE-CLOSURE-001</t>
        </is>
      </c>
      <c r="B5" t="inlineStr">
        <is>
          <t>FAILED</t>
        </is>
      </c>
      <c r="C5" t="inlineStr">
        <is>
          <t>NOT_APPLICABLE</t>
        </is>
      </c>
      <c r="D5" t="inlineStr">
        <is>
          <t>FAILED</t>
        </is>
      </c>
      <c r="E5" t="inlineStr">
        <is>
          <t>DE42232A3F2E31097B4F681B3273E20FFFAD6776DB36A8186B322F886065FD81</t>
        </is>
      </c>
      <c r="F5" t="inlineStr">
        <is>
          <t>.nova-data\execution\reports\NOVA\NOVA-EVIDENCE-INTELLIGENCE-CLOSURE-001\bootstrap-20260914T233744353\official-report.json</t>
        </is>
      </c>
      <c r="G5" t="inlineStr">
        <is>
          <t>2026-10-01 10:18:43</t>
        </is>
      </c>
    </row>
    <row r="6">
      <c r="A6" t="inlineStr">
        <is>
          <t>NOVA-R02-BFF-MISSION-RUNTIME-HTTP-BRIDGE-001</t>
        </is>
      </c>
      <c r="B6" t="inlineStr">
        <is>
          <t>READY_FOR_REVIEW</t>
        </is>
      </c>
      <c r="C6" t="inlineStr">
        <is>
          <t>ACCEPTED</t>
        </is>
      </c>
      <c r="D6" t="inlineStr">
        <is>
          <t>ACCEPTED</t>
        </is>
      </c>
      <c r="E6" t="inlineStr">
        <is>
          <t>A4ED0525EBA487AD8EA400DA41A9023216E9EAB5DCDBF8EDF9C2ACC64A2E8825</t>
        </is>
      </c>
      <c r="F6" t="inlineStr">
        <is>
          <t>.nova-data\execution\reports\NOVA-AS-BUILT-COMPLETION\NOVA-R02-BFF-MISSION-RUNTIME-HTTP-BRIDGE-001\bootstrap-20260929T175046117\official-report.json</t>
        </is>
      </c>
      <c r="G6" t="inlineStr">
        <is>
          <t>2026-10-01 10:18:43</t>
        </is>
      </c>
    </row>
    <row r="7">
      <c r="A7" t="inlineStr">
        <is>
          <t>NOVA-R05-CONFIRM-TO-REAL-WORK-001</t>
        </is>
      </c>
      <c r="B7" t="inlineStr">
        <is>
          <t>READY_FOR_REVIEW</t>
        </is>
      </c>
      <c r="C7" t="inlineStr">
        <is>
          <t>ACCEPTED</t>
        </is>
      </c>
      <c r="D7" t="inlineStr">
        <is>
          <t>ACCEPTED</t>
        </is>
      </c>
      <c r="E7" t="inlineStr">
        <is>
          <t>F98A222A1A40EF8AFD4F775AD3719EFBB9BA85B5D891E2ED43EE13517EF11BFB</t>
        </is>
      </c>
      <c r="F7" t="inlineStr">
        <is>
          <t>.nova-data\execution\reports\NOVA-AS-BUILT-COMPLETION\NOVA-R05-CONFIRM-TO-REAL-WORK-001\bootstrap-20261001T092313888\official-report.json</t>
        </is>
      </c>
      <c r="G7" t="inlineStr">
        <is>
          <t>2026-10-01 10:18:43</t>
        </is>
      </c>
    </row>
    <row r="8">
      <c r="A8" t="inlineStr">
        <is>
          <t>NOVA-SUPER-WAVE-RT12-PROVENANCE-CLOSURE-001</t>
        </is>
      </c>
      <c r="B8" t="inlineStr">
        <is>
          <t>READY_FOR_REVIEW</t>
        </is>
      </c>
      <c r="C8" t="inlineStr">
        <is>
          <t>PENDING_REVIEW</t>
        </is>
      </c>
      <c r="D8" t="inlineStr">
        <is>
          <t>READY_FOR_REVIEW</t>
        </is>
      </c>
      <c r="E8" t="inlineStr">
        <is>
          <t>CC9AD198EDB08AC8AF64CF2658789F4C7553353485A6E86D6BAB0DEBBC7D16F5</t>
        </is>
      </c>
      <c r="F8" t="inlineStr">
        <is>
          <t>.nova-data\execution\reports\PROGRAM-003\NOVA-SUPER-WAVE-RT12-PROVENANCE-CLOSURE-001\bootstrap-20260917T160907003\official-report.json</t>
        </is>
      </c>
      <c r="G8" t="inlineStr">
        <is>
          <t>2026-10-01 10:18:43</t>
        </is>
      </c>
    </row>
    <row r="9">
      <c r="A9" t="inlineStr">
        <is>
          <t>NOVA-WORK-CERTIFICATION-FINAL-CLOSURE-001</t>
        </is>
      </c>
      <c r="B9" t="inlineStr">
        <is>
          <t>READY_FOR_REVIEW</t>
        </is>
      </c>
      <c r="C9" t="inlineStr">
        <is>
          <t>PENDING_REVIEW</t>
        </is>
      </c>
      <c r="D9" t="inlineStr">
        <is>
          <t>READY_FOR_REVIEW</t>
        </is>
      </c>
      <c r="E9" t="inlineStr">
        <is>
          <t>B08AC39DD5A194D049E743140B5D952C91A2262D0C1C0392B79E78A39778F888</t>
        </is>
      </c>
      <c r="F9" t="inlineStr">
        <is>
          <t>.nova-data\execution\reports\PROGRAM-003\NOVA-WORK-CERTIFICATION-FINAL-CLOSURE-001\bootstrap-20260919T162258742\official-report.json</t>
        </is>
      </c>
      <c r="G9" t="inlineStr">
        <is>
          <t>2026-10-01 10:18:43</t>
        </is>
      </c>
    </row>
    <row r="10">
      <c r="A10" t="inlineStr">
        <is>
          <t>NOVA-WORK-WCF008-C19-RED-TEAM-REVALIDATION-001</t>
        </is>
      </c>
      <c r="B10" t="inlineStr">
        <is>
          <t>READY_FOR_REVIEW</t>
        </is>
      </c>
      <c r="C10" t="inlineStr">
        <is>
          <t>PENDING_REVIEW</t>
        </is>
      </c>
      <c r="D10" t="inlineStr">
        <is>
          <t>READY_FOR_REVIEW</t>
        </is>
      </c>
      <c r="E10" t="inlineStr">
        <is>
          <t>F523C276F31EBDF077F882AF67E9D65B650ED26B3497667EB547A8B560D6A8EA</t>
        </is>
      </c>
      <c r="F10" t="inlineStr">
        <is>
          <t>.nova-data\execution\reports\PROGRAM-003\NOVA-WORK-WCF008-C19-RED-TEAM-REVALIDATION-001\bootstrap-20260928T141436900\official-report.json</t>
        </is>
      </c>
      <c r="G10" t="inlineStr">
        <is>
          <t>2026-10-01 10:18:43</t>
        </is>
      </c>
    </row>
    <row r="11">
      <c r="A11" t="inlineStr">
        <is>
          <t>NOVA-WORK-WCF008-C20-OFFICIAL-REPORT-SEAL-AUDIT-001</t>
        </is>
      </c>
      <c r="B11" t="inlineStr">
        <is>
          <t>READY_FOR_REVIEW</t>
        </is>
      </c>
      <c r="C11" t="inlineStr">
        <is>
          <t>PENDING_REVIEW</t>
        </is>
      </c>
      <c r="D11" t="inlineStr">
        <is>
          <t>READY_FOR_REVIEW</t>
        </is>
      </c>
      <c r="E11" t="inlineStr">
        <is>
          <t>4C7F0ED1FD77F57332E1591404779737266EB71921180CC56BD04FF82CBB961E</t>
        </is>
      </c>
      <c r="F11" t="inlineStr">
        <is>
          <t>.nova-data\execution\reports\PROGRAM-003\NOVA-WORK-WCF008-C20-OFFICIAL-REPORT-SEAL-AUDIT-001\bootstrap-20260928T160351555\official-report.json</t>
        </is>
      </c>
      <c r="G11" t="inlineStr">
        <is>
          <t>2026-10-01 10:18:43</t>
        </is>
      </c>
    </row>
    <row r="12">
      <c r="A12" t="inlineStr">
        <is>
          <t>NOVA-WORK-WCF008-C21-FINAL-CLOSURE-READINESS-001</t>
        </is>
      </c>
      <c r="B12" t="inlineStr">
        <is>
          <t>READY_FOR_REVIEW</t>
        </is>
      </c>
      <c r="C12" t="inlineStr">
        <is>
          <t>PENDING_REVIEW</t>
        </is>
      </c>
      <c r="D12" t="inlineStr">
        <is>
          <t>CERTIFIED</t>
        </is>
      </c>
      <c r="E12" t="inlineStr">
        <is>
          <t>22C04477C91C196702DDD99184A975A46DACDE8EBE20F6C679B1477A33861EA9</t>
        </is>
      </c>
      <c r="F12" t="inlineStr">
        <is>
          <t>.nova-data\execution\reports\PROGRAM-003\NOVA-WORK-WCF008-C21-FINAL-CLOSURE-READINESS-001\bootstrap-20260928T233841880\official-report.json</t>
        </is>
      </c>
      <c r="G12" t="inlineStr">
        <is>
          <t>2026-10-01 10:18:43</t>
        </is>
      </c>
    </row>
    <row r="13">
      <c r="A13" t="inlineStr">
        <is>
          <t>NOVA-WORK-WCF008-FINAL-PRE-C21-VALIDATION-001</t>
        </is>
      </c>
      <c r="B13" t="inlineStr">
        <is>
          <t>READY_FOR_REVIEW</t>
        </is>
      </c>
      <c r="C13" t="inlineStr">
        <is>
          <t>PENDING_REVIEW</t>
        </is>
      </c>
      <c r="D13" t="inlineStr">
        <is>
          <t>READY_FOR_REVIEW</t>
        </is>
      </c>
      <c r="E13" t="inlineStr">
        <is>
          <t>E23ED2A88B1C3B2650B66694C6AD9F498A1086E05DF287727C1C1EF3F74C0186</t>
        </is>
      </c>
      <c r="F13" t="inlineStr">
        <is>
          <t>.nova-data\execution\reports\NOVA\NOVA-WORK-WCF008-FINAL-PRE-C21-VALIDATION-001\bootstrap-20260928T102331010\official-report.json</t>
        </is>
      </c>
      <c r="G13" t="inlineStr">
        <is>
          <t>2026-10-01 10:18:43</t>
        </is>
      </c>
    </row>
    <row r="14">
      <c r="A14" t="inlineStr">
        <is>
          <t>P3-ACTIONS-001A-IMPLEMENTATION-CONTRACT</t>
        </is>
      </c>
      <c r="B14" t="inlineStr">
        <is>
          <t>READY_FOR_REVIEW</t>
        </is>
      </c>
      <c r="C14" t="inlineStr">
        <is>
          <t>PENDING_REVIEW</t>
        </is>
      </c>
      <c r="D14" t="inlineStr">
        <is>
          <t>READY_FOR_REVIEW</t>
        </is>
      </c>
      <c r="E14" t="inlineStr">
        <is>
          <t>BF26635526F1076CEAA9025E859DF3AEDFC5484E116FF1DC01B041508921B96F</t>
        </is>
      </c>
      <c r="F14" t="inlineStr">
        <is>
          <t>.nova-data\execution\reports\PROGRAM-003\P3-ACTIONS-001A-IMPLEMENTATION-CONTRACT\bootstrap-20260908T102551406\official-report.json</t>
        </is>
      </c>
      <c r="G14" t="inlineStr">
        <is>
          <t>2026-10-01 10:18:43</t>
        </is>
      </c>
    </row>
    <row r="15">
      <c r="A15" t="inlineStr">
        <is>
          <t>P3-ACTIONS-001B-IMPLEMENTATION-001</t>
        </is>
      </c>
      <c r="B15" t="inlineStr">
        <is>
          <t>READY_FOR_REVIEW</t>
        </is>
      </c>
      <c r="C15" t="inlineStr">
        <is>
          <t>PENDING_REVIEW</t>
        </is>
      </c>
      <c r="D15" t="inlineStr">
        <is>
          <t>CERTIFIED</t>
        </is>
      </c>
      <c r="E15" t="inlineStr">
        <is>
          <t>1D55CAFE5144E3B7EC41C6F41E7E7233A692F14EA0C15B23E5ABC7DC6D0F5CD5</t>
        </is>
      </c>
      <c r="F15" t="inlineStr">
        <is>
          <t>.nova-data\execution\reports\PROGRAM-003\P3-ACTIONS-001B-IMPLEMENTATION-001\bootstrap-20260908T164222685\official-report.json</t>
        </is>
      </c>
      <c r="G15" t="inlineStr">
        <is>
          <t>2026-10-01 10:18:43</t>
        </is>
      </c>
    </row>
    <row r="16">
      <c r="A16" t="inlineStr">
        <is>
          <t>P3-ACTIONS-001C-IMPLEMENTATION-001</t>
        </is>
      </c>
      <c r="B16" t="inlineStr">
        <is>
          <t>READY_FOR_REVIEW</t>
        </is>
      </c>
      <c r="C16" t="inlineStr">
        <is>
          <t>PENDING_REVIEW</t>
        </is>
      </c>
      <c r="D16" t="inlineStr">
        <is>
          <t>CERTIFIED</t>
        </is>
      </c>
      <c r="E16" t="inlineStr">
        <is>
          <t>351FC47C1FD4CA8E66AF7DD143A084DD1C14EB89384F00B37FFFDFD63949F352</t>
        </is>
      </c>
      <c r="F16" t="inlineStr">
        <is>
          <t>.nova-data\execution\reports\PROGRAM-003\P3-ACTIONS-001C-IMPLEMENTATION-001\bootstrap-20260910T105924679\official-report.json</t>
        </is>
      </c>
      <c r="G16" t="inlineStr">
        <is>
          <t>2026-10-01 10:18:43</t>
        </is>
      </c>
    </row>
    <row r="17">
      <c r="A17" t="inlineStr">
        <is>
          <t>P3-ACTIONS-001D-IMPLEMENTATION-001</t>
        </is>
      </c>
      <c r="B17" t="inlineStr">
        <is>
          <t>READY_FOR_REVIEW</t>
        </is>
      </c>
      <c r="C17" t="inlineStr">
        <is>
          <t>PENDING_REVIEW</t>
        </is>
      </c>
      <c r="D17" t="inlineStr">
        <is>
          <t>CERTIFIED</t>
        </is>
      </c>
      <c r="E17" t="inlineStr">
        <is>
          <t>27DAF65D046D7132AB457F8768ABCB22812E4ABA85BB9248B3BC79AD18C7FE29</t>
        </is>
      </c>
      <c r="F17" t="inlineStr">
        <is>
          <t>.nova-data\execution\reports\PROGRAM-003\P3-ACTIONS-001D-IMPLEMENTATION-001\bootstrap-20260910T132750068\official-report.json</t>
        </is>
      </c>
      <c r="G17" t="inlineStr">
        <is>
          <t>2026-10-01 10:18:43</t>
        </is>
      </c>
    </row>
    <row r="18">
      <c r="A18" t="inlineStr">
        <is>
          <t>P3-ACTIONS-001E-IMPLEMENTATION-001</t>
        </is>
      </c>
      <c r="B18" t="inlineStr">
        <is>
          <t>READY_FOR_REVIEW</t>
        </is>
      </c>
      <c r="C18" t="inlineStr">
        <is>
          <t>PENDING_REVIEW</t>
        </is>
      </c>
      <c r="D18" t="inlineStr">
        <is>
          <t>CERTIFIED</t>
        </is>
      </c>
      <c r="E18" t="inlineStr">
        <is>
          <t>8B1BC8B78FAD692F07C02EEBFE3702E2BBB75CAD46E49CAD91860263389789EA</t>
        </is>
      </c>
      <c r="F18" t="inlineStr">
        <is>
          <t>.nova-data\execution\reports\PROGRAM-003\P3-ACTIONS-001E-IMPLEMENTATION-001\bootstrap-20260910T163042722\official-report.json</t>
        </is>
      </c>
      <c r="G18" t="inlineStr">
        <is>
          <t>2026-10-01 10:18:43</t>
        </is>
      </c>
    </row>
    <row r="19">
      <c r="A19" t="inlineStr">
        <is>
          <t>P3-ACTIONS-001F-IMPLEMENTATION-001</t>
        </is>
      </c>
      <c r="B19" t="inlineStr">
        <is>
          <t>READY_FOR_REVIEW</t>
        </is>
      </c>
      <c r="C19" t="inlineStr">
        <is>
          <t>PENDING_REVIEW</t>
        </is>
      </c>
      <c r="D19" t="inlineStr">
        <is>
          <t>CERTIFIED</t>
        </is>
      </c>
      <c r="E19" t="inlineStr">
        <is>
          <t>D7B20722E39CF6C3187472CB67E23388D00419EB08E7DDD6F7C167734F515FC9</t>
        </is>
      </c>
      <c r="F19" t="inlineStr">
        <is>
          <t>.nova-data\execution\reports\PROGRAM-003\P3-ACTIONS-001F-IMPLEMENTATION-001\bootstrap-20260910T234329189\official-report.json</t>
        </is>
      </c>
      <c r="G19" t="inlineStr">
        <is>
          <t>2026-10-01 10:18:43</t>
        </is>
      </c>
    </row>
    <row r="20">
      <c r="A20" t="inlineStr">
        <is>
          <t>P3-ACTIONS-001G-IMPLEMENTATION-001</t>
        </is>
      </c>
      <c r="B20" t="inlineStr">
        <is>
          <t>READY_FOR_REVIEW</t>
        </is>
      </c>
      <c r="C20" t="inlineStr">
        <is>
          <t>PENDING_REVIEW</t>
        </is>
      </c>
      <c r="D20" t="inlineStr">
        <is>
          <t>CERTIFIED</t>
        </is>
      </c>
      <c r="E20" t="inlineStr">
        <is>
          <t>5525B5851E6F2C1A8D02ADB45FAE10A6D85435164EEE5C44552E06C055395D31</t>
        </is>
      </c>
      <c r="F20" t="inlineStr">
        <is>
          <t>.nova-data\execution\reports\PROGRAM-003\P3-ACTIONS-001G-IMPLEMENTATION-001\bootstrap-20260913T195219085\official-report.json</t>
        </is>
      </c>
      <c r="G20" t="inlineStr">
        <is>
          <t>2026-10-01 10:18:43</t>
        </is>
      </c>
    </row>
    <row r="21">
      <c r="A21" t="inlineStr">
        <is>
          <t>P3-BUSINESS-CERTIFICATION-001B-IMPLEMENTATION-001</t>
        </is>
      </c>
      <c r="B21" t="inlineStr">
        <is>
          <t>READY_FOR_REVIEW</t>
        </is>
      </c>
      <c r="C21" t="inlineStr">
        <is>
          <t>PENDING_REVIEW</t>
        </is>
      </c>
      <c r="D21" t="inlineStr">
        <is>
          <t>CERTIFIED</t>
        </is>
      </c>
      <c r="E21" t="inlineStr">
        <is>
          <t>32DD5DC8698BEA0E159E4C7F5E22852791A59CF119BA967C5B912823DAFF2343</t>
        </is>
      </c>
      <c r="F21" t="inlineStr">
        <is>
          <t>.nova-data\execution\reports\PROGRAM-003\P3-BUSINESS-CERTIFICATION-001B-IMPLEMENTATION-001\bootstrap-20260917T150647587\official-report.json</t>
        </is>
      </c>
      <c r="G21" t="inlineStr">
        <is>
          <t>2026-10-01 10:18:43</t>
        </is>
      </c>
    </row>
    <row r="22">
      <c r="A22" t="inlineStr">
        <is>
          <t>P3-CONFIDENCE-001B-IMPLEMENTATION-001</t>
        </is>
      </c>
      <c r="B22" t="inlineStr">
        <is>
          <t>READY_FOR_REVIEW</t>
        </is>
      </c>
      <c r="C22" t="inlineStr">
        <is>
          <t>PENDING_REVIEW</t>
        </is>
      </c>
      <c r="D22" t="inlineStr">
        <is>
          <t>CERTIFIED</t>
        </is>
      </c>
      <c r="E22" t="inlineStr">
        <is>
          <t>DB4A6A3AFAEC0C7C91C3A4E4B523603D6752A8734826F01076C249B1337706FE</t>
        </is>
      </c>
      <c r="F22" t="inlineStr">
        <is>
          <t>.nova-data\execution\reports\PROGRAM-003\P3-CONFIDENCE-001B-IMPLEMENTATION-001\bootstrap-20260918T125752601\official-report.json</t>
        </is>
      </c>
      <c r="G22" t="inlineStr">
        <is>
          <t>2026-10-01 10:18:43</t>
        </is>
      </c>
    </row>
    <row r="23">
      <c r="A23" t="inlineStr">
        <is>
          <t>P3-EVIDENCE-001B-IMPLEMENTATION-001</t>
        </is>
      </c>
      <c r="B23" t="inlineStr">
        <is>
          <t>READY_FOR_REVIEW</t>
        </is>
      </c>
      <c r="C23" t="inlineStr">
        <is>
          <t>PENDING_REVIEW</t>
        </is>
      </c>
      <c r="D23" t="inlineStr">
        <is>
          <t>CERTIFIED</t>
        </is>
      </c>
      <c r="E23" t="inlineStr">
        <is>
          <t>37A4453AA09E7157A2D12D5DF1FE0526163A252E4745435A1A18E80F9DEB29E0</t>
        </is>
      </c>
      <c r="F23" t="inlineStr">
        <is>
          <t>.nova-data\execution\reports\PROGRAM-003\P3-EVIDENCE-001B-IMPLEMENTATION-001\bootstrap-20260915T130433792\official-report.json</t>
        </is>
      </c>
      <c r="G23" t="inlineStr">
        <is>
          <t>2026-10-01 10:18:43</t>
        </is>
      </c>
    </row>
    <row r="24">
      <c r="A24" t="inlineStr">
        <is>
          <t>P3-INTELLIGENCE-001B-IMPLEMENTATION-001</t>
        </is>
      </c>
      <c r="B24" t="inlineStr">
        <is>
          <t>READY_FOR_REVIEW</t>
        </is>
      </c>
      <c r="C24" t="inlineStr">
        <is>
          <t>PENDING_REVIEW</t>
        </is>
      </c>
      <c r="D24" t="inlineStr">
        <is>
          <t>CERTIFIED</t>
        </is>
      </c>
      <c r="E24" t="inlineStr">
        <is>
          <t>576375263E1D11F4D9BC49929BA0A701C645C387430AE1EAB711A1D9C71713C5</t>
        </is>
      </c>
      <c r="F24" t="inlineStr">
        <is>
          <t>.nova-data\execution\reports\PROGRAM-003\P3-INTELLIGENCE-001B-IMPLEMENTATION-001\bootstrap-20260917T205856790\official-report.json</t>
        </is>
      </c>
      <c r="G24" t="inlineStr">
        <is>
          <t>2026-10-01 10:18:43</t>
        </is>
      </c>
    </row>
    <row r="25">
      <c r="A25" t="inlineStr">
        <is>
          <t>P3-PLANNING-001C-FINAL-EVIDENCE-002</t>
        </is>
      </c>
      <c r="B25" t="inlineStr">
        <is>
          <t>READY_FOR_REVIEW</t>
        </is>
      </c>
      <c r="C25" t="inlineStr">
        <is>
          <t>PENDING_REVIEW</t>
        </is>
      </c>
      <c r="D25" t="inlineStr">
        <is>
          <t>CERTIFIED</t>
        </is>
      </c>
      <c r="E25" t="inlineStr">
        <is>
          <t>14D7FCEF0C6EE5ABAE5B3052A19508CDCD01B420EDA2E21F07120E79006B3167</t>
        </is>
      </c>
      <c r="F25" t="inlineStr">
        <is>
          <t>.nova-data\execution\reports\PROGRAM-003\P3-PLANNING-001C-FINAL-EVIDENCE-002\bootstrap-20260905T180227989\official-report.json</t>
        </is>
      </c>
      <c r="G25" t="inlineStr">
        <is>
          <t>2026-10-01 10:18:43</t>
        </is>
      </c>
    </row>
    <row r="26">
      <c r="A26" t="inlineStr">
        <is>
          <t>P3-PLANNING-001D-IMPLEMENTATION-001</t>
        </is>
      </c>
      <c r="B26" t="inlineStr">
        <is>
          <t>READY_FOR_REVIEW</t>
        </is>
      </c>
      <c r="C26" t="inlineStr">
        <is>
          <t>PENDING_REVIEW</t>
        </is>
      </c>
      <c r="D26" t="inlineStr">
        <is>
          <t>CERTIFIED</t>
        </is>
      </c>
      <c r="E26" t="inlineStr">
        <is>
          <t>0442A6023581D62C7B7FA926BE258027452B03149D42C3B2AE4BA7ABBA64E243</t>
        </is>
      </c>
      <c r="F26" t="inlineStr">
        <is>
          <t>.nova-data\execution\reports\PROGRAM-003\P3-PLANNING-001D-IMPLEMENTATION-001\bootstrap-20260905T190028578\official-report.json</t>
        </is>
      </c>
      <c r="G26" t="inlineStr">
        <is>
          <t>2026-10-01 10:18:43</t>
        </is>
      </c>
    </row>
    <row r="27">
      <c r="A27" t="inlineStr">
        <is>
          <t>P3-PLANNING-001E-IMPLEMENTATION-001</t>
        </is>
      </c>
      <c r="B27" t="inlineStr">
        <is>
          <t>READY_FOR_REVIEW</t>
        </is>
      </c>
      <c r="C27" t="inlineStr">
        <is>
          <t>PENDING_REVIEW</t>
        </is>
      </c>
      <c r="D27" t="inlineStr">
        <is>
          <t>CERTIFIED</t>
        </is>
      </c>
      <c r="E27" t="inlineStr">
        <is>
          <t>67BCE4021666AA8C5B5A2DED6BC88FD54DEF839EDA9F4ED8E28EBE76AD40D119</t>
        </is>
      </c>
      <c r="F27" t="inlineStr">
        <is>
          <t>.nova-data\execution\reports\PROGRAM-003\P3-PLANNING-001E-IMPLEMENTATION-001\bootstrap-20260906T193230204\official-report.json</t>
        </is>
      </c>
      <c r="G27" t="inlineStr">
        <is>
          <t>2026-10-01 10:18:43</t>
        </is>
      </c>
    </row>
    <row r="28">
      <c r="A28" t="inlineStr">
        <is>
          <t>P3-PLANNING-001F-IMPLEMENTATION-001</t>
        </is>
      </c>
      <c r="B28" t="inlineStr">
        <is>
          <t>READY_FOR_REVIEW</t>
        </is>
      </c>
      <c r="C28" t="inlineStr">
        <is>
          <t>PENDING_REVIEW</t>
        </is>
      </c>
      <c r="D28" t="inlineStr">
        <is>
          <t>CERTIFIED</t>
        </is>
      </c>
      <c r="E28" t="inlineStr">
        <is>
          <t>2D9CAF4114AE784DD95CD5471132144ADC8FADF6CACC56A94833DDF5192DE82C</t>
        </is>
      </c>
      <c r="F28" t="inlineStr">
        <is>
          <t>.nova-data\execution\reports\PROGRAM-003\P3-PLANNING-001F-IMPLEMENTATION-001\bootstrap-20260906T213644505\official-report.json</t>
        </is>
      </c>
      <c r="G28" t="inlineStr">
        <is>
          <t>2026-10-01 10:18:43</t>
        </is>
      </c>
    </row>
    <row r="29">
      <c r="A29" t="inlineStr">
        <is>
          <t>P3-PLANNING-001G-IMPLEMENTATION-001</t>
        </is>
      </c>
      <c r="B29" t="inlineStr">
        <is>
          <t>READY_FOR_REVIEW</t>
        </is>
      </c>
      <c r="C29" t="inlineStr">
        <is>
          <t>PENDING_REVIEW</t>
        </is>
      </c>
      <c r="D29" t="inlineStr">
        <is>
          <t>CERTIFIED</t>
        </is>
      </c>
      <c r="E29" t="inlineStr">
        <is>
          <t>B1068CA311366D7BB4DD626606C435E73F720494212448686615A821311D6DBF</t>
        </is>
      </c>
      <c r="F29" t="inlineStr">
        <is>
          <t>.nova-data\execution\reports\PROGRAM-003\P3-PLANNING-001G-IMPLEMENTATION-001\bootstrap-20260907T174646937\official-report.json</t>
        </is>
      </c>
      <c r="G29" t="inlineStr">
        <is>
          <t>2026-10-01 10:18:43</t>
        </is>
      </c>
    </row>
    <row r="30">
      <c r="A30" t="inlineStr">
        <is>
          <t>P3-SYNTHESIS-001B-IMPLEMENTATION-001</t>
        </is>
      </c>
      <c r="B30" t="inlineStr">
        <is>
          <t>READY_FOR_REVIEW</t>
        </is>
      </c>
      <c r="C30" t="inlineStr">
        <is>
          <t>PENDING_REVIEW</t>
        </is>
      </c>
      <c r="D30" t="inlineStr">
        <is>
          <t>CERTIFIED</t>
        </is>
      </c>
      <c r="E30" t="inlineStr">
        <is>
          <t>A456BAD939D4206681D2203DA4D0CE674D5510A7989E9EF8730820E08F76F30E</t>
        </is>
      </c>
      <c r="F30" t="inlineStr">
        <is>
          <t>.nova-data\execution\reports\PROGRAM-003\P3-SYNTHESIS-001B-IMPLEMENTATION-001\bootstrap-20260917T230506107\official-report.json</t>
        </is>
      </c>
      <c r="G30" t="inlineStr">
        <is>
          <t>2026-10-01 10:18:43</t>
        </is>
      </c>
    </row>
    <row r="31">
      <c r="A31" t="inlineStr">
        <is>
          <t>WCF-001-AUTHORITY-APPROVAL-PATH-REPAIR-001</t>
        </is>
      </c>
      <c r="B31" t="inlineStr">
        <is>
          <t>READY_FOR_REVIEW</t>
        </is>
      </c>
      <c r="C31" t="inlineStr">
        <is>
          <t>PENDING_REVIEW</t>
        </is>
      </c>
      <c r="D31" t="inlineStr">
        <is>
          <t>READY_FOR_REVIEW</t>
        </is>
      </c>
      <c r="E31" t="inlineStr">
        <is>
          <t>61E6AB5B881C2CE69889A7478005AAEB1AD0E6068B28A8DAACE4633B31F5143A</t>
        </is>
      </c>
      <c r="F31" t="inlineStr">
        <is>
          <t>.nova-data\execution\reports\PROGRAM-003\WCF-001-AUTHORITY-APPROVAL-PATH-REPAIR-001\bootstrap-20260919T144746651\official-report.json</t>
        </is>
      </c>
      <c r="G31" t="inlineStr">
        <is>
          <t>2026-10-01 10:18:43</t>
        </is>
      </c>
    </row>
    <row r="32">
      <c r="A32" t="inlineStr">
        <is>
          <t>WCF-001-CURRENT-AUTHORITY-RATIFICATION-001</t>
        </is>
      </c>
      <c r="B32" t="inlineStr">
        <is>
          <t>READY_FOR_REVIEW</t>
        </is>
      </c>
      <c r="C32" t="inlineStr">
        <is>
          <t>PENDING_REVIEW</t>
        </is>
      </c>
      <c r="D32" t="inlineStr">
        <is>
          <t>CERTIFIED</t>
        </is>
      </c>
      <c r="E32" t="inlineStr">
        <is>
          <t>47D5F83FA798B6CEB2441DDE601A792D35DBC065E94ACDD19F3F6CCD9C0584D6</t>
        </is>
      </c>
      <c r="F32" t="inlineStr">
        <is>
          <t>.nova-data\execution\reports\PROGRAM-003\WCF-001-CURRENT-AUTHORITY-RATIFICATION-001\bootstrap-20260919T150059213\official-report.json</t>
        </is>
      </c>
      <c r="G32" t="inlineStr">
        <is>
          <t>2026-10-01 10:18:43</t>
        </is>
      </c>
    </row>
    <row r="33">
      <c r="A33" t="inlineStr">
        <is>
          <t>WCF-002-CURRENT-AUTHORITY-RATIFICATION-001</t>
        </is>
      </c>
      <c r="B33" t="inlineStr">
        <is>
          <t>READY_FOR_REVIEW</t>
        </is>
      </c>
      <c r="C33" t="inlineStr">
        <is>
          <t>PENDING_REVIEW</t>
        </is>
      </c>
      <c r="D33" t="inlineStr">
        <is>
          <t>CERTIFIED</t>
        </is>
      </c>
      <c r="E33" t="inlineStr">
        <is>
          <t>817BD739A8B61D20CEAE3E03FADB8350E8C9C8F28BD9714B5FD9E10679F3C78C</t>
        </is>
      </c>
      <c r="F33" t="inlineStr">
        <is>
          <t>.nova-data\execution\reports\PROGRAM-003\WCF-002-CURRENT-AUTHORITY-RATIFICATION-001\bootstrap-20260922T222135247\official-report.json</t>
        </is>
      </c>
      <c r="G33" t="inlineStr">
        <is>
          <t>2026-10-01 10:18:43</t>
        </is>
      </c>
    </row>
    <row r="34">
      <c r="A34" t="inlineStr">
        <is>
          <t>WCF-003-CURRENT-AUTHORITY-RATIFICATION-001</t>
        </is>
      </c>
      <c r="B34" t="inlineStr">
        <is>
          <t>FAILED</t>
        </is>
      </c>
      <c r="C34" t="inlineStr">
        <is>
          <t>NOT_APPLICABLE</t>
        </is>
      </c>
      <c r="D34" t="inlineStr">
        <is>
          <t>FAILED</t>
        </is>
      </c>
      <c r="E34" t="inlineStr">
        <is>
          <t>5BD76C88ECF58FF03CE8DB7D85D93DA97067056517BD052BE0BCB5B86D704645</t>
        </is>
      </c>
      <c r="F34" t="inlineStr">
        <is>
          <t>.nova-data\execution\reports\PROGRAM-003\WCF-003-CURRENT-AUTHORITY-RATIFICATION-001\bootstrap-20260923T095247889\official-report.json</t>
        </is>
      </c>
      <c r="G34" t="inlineStr">
        <is>
          <t>2026-10-01 10:18:43</t>
        </is>
      </c>
    </row>
    <row r="35">
      <c r="A35" t="inlineStr">
        <is>
          <t>WCF-004-IMPLEMENTATION-001</t>
        </is>
      </c>
      <c r="B35" t="inlineStr">
        <is>
          <t>READY_FOR_REVIEW</t>
        </is>
      </c>
      <c r="C35" t="inlineStr">
        <is>
          <t>PENDING_REVIEW</t>
        </is>
      </c>
      <c r="D35" t="inlineStr">
        <is>
          <t>CERTIFIED</t>
        </is>
      </c>
      <c r="E35" t="inlineStr">
        <is>
          <t>8734FEA171B97F34D156A9A68A26ECCD87B1EA2F43E45F41F1A96E3861DEAD2C</t>
        </is>
      </c>
      <c r="F35" t="inlineStr">
        <is>
          <t>.nova-data\execution\reports\PROGRAM-003\WCF-004-IMPLEMENTATION-001\bootstrap-20260916T114837076\official-report.json</t>
        </is>
      </c>
      <c r="G35" t="inlineStr">
        <is>
          <t>2026-10-01 10:18:43</t>
        </is>
      </c>
    </row>
    <row r="36">
      <c r="A36" t="inlineStr">
        <is>
          <t>WCF-008-C22-CERTIFICATION-RECONCILIATION-001</t>
        </is>
      </c>
      <c r="B36" t="inlineStr">
        <is>
          <t>READY_FOR_REVIEW</t>
        </is>
      </c>
      <c r="C36" t="inlineStr">
        <is>
          <t>PENDING_REVIEW</t>
        </is>
      </c>
      <c r="D36" t="inlineStr">
        <is>
          <t>READY_FOR_REVIEW</t>
        </is>
      </c>
      <c r="E36" t="inlineStr">
        <is>
          <t>D97DABE6A29700173F13B7BA5EE1CD69933995B2F5BE921A7EA5C0B9392488C5</t>
        </is>
      </c>
      <c r="F36" t="inlineStr">
        <is>
          <t>.nova-data\execution\reports\PROGRAM-003\WCF-008-C22-CERTIFICATION-RECONCILIATION-001\bootstrap-20260918T145858777\official-report.json</t>
        </is>
      </c>
      <c r="G36" t="inlineStr">
        <is>
          <t>2026-10-01 10:18:43</t>
        </is>
      </c>
    </row>
    <row r="37">
      <c r="A37" t="inlineStr">
        <is>
          <t>WCF-008-CLOSURE-001</t>
        </is>
      </c>
      <c r="B37" t="inlineStr">
        <is>
          <t>READY_FOR_REVIEW</t>
        </is>
      </c>
      <c r="C37" t="inlineStr">
        <is>
          <t>PENDING_REVIEW</t>
        </is>
      </c>
      <c r="D37" t="inlineStr">
        <is>
          <t>READY_FOR_REVIEW</t>
        </is>
      </c>
      <c r="E37" t="inlineStr">
        <is>
          <t>38268FB91B1ACC0FE124B0EE830AB775FB5156CF8AD8DCD64D9C87E83E54DAAB</t>
        </is>
      </c>
      <c r="F37" t="inlineStr">
        <is>
          <t>.nova-data\execution\reports\PROGRAM-003\WCF-008-CLOSURE-001\bootstrap-20260918T132849560\official-report.json</t>
        </is>
      </c>
      <c r="G37" t="inlineStr">
        <is>
          <t>2026-10-01 10:18:43</t>
        </is>
      </c>
    </row>
    <row r="38">
      <c r="A38" t="inlineStr">
        <is>
          <t>WORK-AUTHORIZED-STATE-001-IMPLEMENTATION-001</t>
        </is>
      </c>
      <c r="B38" t="inlineStr">
        <is>
          <t>READY_FOR_REVIEW</t>
        </is>
      </c>
      <c r="C38" t="inlineStr">
        <is>
          <t>PENDING_REVIEW</t>
        </is>
      </c>
      <c r="D38" t="inlineStr">
        <is>
          <t>CERTIFIED</t>
        </is>
      </c>
      <c r="E38" t="inlineStr">
        <is>
          <t>68CD16E0D5EBF73EAAA4DFB4052029C06445CB71B431A509126A7C77F019DB14</t>
        </is>
      </c>
      <c r="F38" t="inlineStr">
        <is>
          <t>.nova-data\execution\reports\PROGRAM-003\WORK-AUTHORIZED-STATE-001-IMPLEMENTATION-001\bootstrap-20260916T220337699\official-report.json</t>
        </is>
      </c>
      <c r="G38" t="inlineStr">
        <is>
          <t>2026-10-01 10:18:43</t>
        </is>
      </c>
    </row>
    <row r="39">
      <c r="A39" t="inlineStr">
        <is>
          <t>WORK-OVERVIEW-GAP-CLOSURE-001</t>
        </is>
      </c>
      <c r="B39" t="inlineStr">
        <is>
          <t>READY_FOR_REVIEW</t>
        </is>
      </c>
      <c r="C39" t="inlineStr">
        <is>
          <t>PENDING_REVIEW</t>
        </is>
      </c>
      <c r="D39" t="inlineStr">
        <is>
          <t>READY_FOR_REVIEW</t>
        </is>
      </c>
      <c r="E39" t="inlineStr">
        <is>
          <t>D1E60A89C67587DEA5B5784E7CF402C7798ABDBC809D5108149D78055BE1535F</t>
        </is>
      </c>
      <c r="F39" t="inlineStr">
        <is>
          <t>.nova-data\execution\reports\PROGRAM-003\WORK-OVERVIEW-GAP-CLOSURE-001\bootstrap-20260921T230416950\official-report.json</t>
        </is>
      </c>
      <c r="G39" t="inlineStr">
        <is>
          <t>2026-10-01 10:18:43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2026-09-29T09:21:45Z</dcterms:created>
  <dcterms:modified xsi:type="dcterms:W3CDTF">2026-09-29T09:29:47Z</dcterms:modified>
</cp:coreProperties>
</file>